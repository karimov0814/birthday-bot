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-PC\Desktop\birthday_bot\"/>
    </mc:Choice>
  </mc:AlternateContent>
  <xr:revisionPtr revIDLastSave="0" documentId="13_ncr:1_{A64C803D-40F6-49AC-B0CF-A15B2AC09D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odimlar" sheetId="2" r:id="rId1"/>
    <sheet name="Свод_Форма" sheetId="12" state="hidden" r:id="rId2"/>
  </sheets>
  <definedNames>
    <definedName name="_xlnm._FilterDatabase" localSheetId="0" hidden="1">xodimlar!$A$1:$D$561</definedName>
    <definedName name="_xlnm._FilterDatabase" localSheetId="1" hidden="1">Свод_Форма!$A$3:$I$143</definedName>
    <definedName name="Z_9DC12F61_C39B_40C3_A777_9170A1FE1A80_.wvu.FilterData" localSheetId="0" hidden="1">xodimlar!$A$1:$D$3</definedName>
    <definedName name="Z_E0B87E99_EE4A_40C2_850E_6C478C25C46D_.wvu.FilterData" localSheetId="0" hidden="1">xodimlar!$A$1:$D$3</definedName>
    <definedName name="Z_EC3EBD7A_7413_449F_A314_606F3B94FC3C_.wvu.FilterData" localSheetId="0" hidden="1">xodimlar!$A$1:$D$3</definedName>
  </definedNames>
  <calcPr calcId="191029"/>
  <customWorkbookViews>
    <customWorkbookView name="Фильтр 1" guid="{9DC12F61-C39B-40C3-A777-9170A1FE1A80}" maximized="1" windowWidth="0" windowHeight="0" activeSheetId="0"/>
    <customWorkbookView name="Фильтр 2" guid="{E0B87E99-EE4A-40C2-850E-6C478C25C46D}" maximized="1" windowWidth="0" windowHeight="0" activeSheetId="0"/>
    <customWorkbookView name="Фильтр 3" guid="{EC3EBD7A-7413-449F-A314-606F3B94FC3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9" i="12" l="1"/>
  <c r="J98" i="12"/>
  <c r="J97" i="12"/>
  <c r="J96" i="12"/>
  <c r="J95" i="12"/>
  <c r="J94" i="12"/>
  <c r="J93" i="12"/>
  <c r="J92" i="12"/>
  <c r="J91" i="12"/>
  <c r="J90" i="12"/>
  <c r="J89" i="12"/>
  <c r="J88" i="12"/>
  <c r="J87" i="12"/>
  <c r="J86" i="12"/>
  <c r="J85" i="12"/>
  <c r="J84" i="12"/>
  <c r="J83" i="12"/>
  <c r="J82" i="12"/>
  <c r="J81" i="12"/>
  <c r="J80" i="12"/>
  <c r="J79" i="12"/>
  <c r="J78" i="12"/>
  <c r="J77" i="12"/>
  <c r="J76" i="12"/>
  <c r="J75" i="12"/>
  <c r="J74" i="12"/>
  <c r="J73" i="12"/>
  <c r="J72" i="12"/>
  <c r="J71" i="12"/>
  <c r="J70" i="12"/>
  <c r="J69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1" i="12" s="1"/>
  <c r="J4" i="12"/>
  <c r="A4" i="12"/>
  <c r="I1" i="12"/>
  <c r="H1" i="12"/>
  <c r="G1" i="12"/>
  <c r="F1" i="12"/>
  <c r="E1" i="12"/>
  <c r="D1" i="12"/>
  <c r="C1" i="12"/>
  <c r="D659" i="2"/>
  <c r="C659" i="2"/>
  <c r="B659" i="2"/>
  <c r="D658" i="2"/>
  <c r="C658" i="2"/>
  <c r="B658" i="2"/>
  <c r="D657" i="2"/>
  <c r="C657" i="2"/>
  <c r="B657" i="2"/>
  <c r="D656" i="2"/>
  <c r="C656" i="2"/>
  <c r="B656" i="2"/>
  <c r="D655" i="2"/>
  <c r="C655" i="2"/>
  <c r="B655" i="2"/>
  <c r="D654" i="2"/>
  <c r="C654" i="2"/>
  <c r="B654" i="2"/>
  <c r="D653" i="2"/>
  <c r="C653" i="2"/>
  <c r="B653" i="2"/>
  <c r="D652" i="2"/>
  <c r="C652" i="2"/>
  <c r="B652" i="2"/>
  <c r="D651" i="2"/>
  <c r="C651" i="2"/>
  <c r="B651" i="2"/>
  <c r="D650" i="2"/>
  <c r="C650" i="2"/>
  <c r="B650" i="2"/>
  <c r="D649" i="2"/>
  <c r="C649" i="2"/>
  <c r="B649" i="2"/>
  <c r="D648" i="2"/>
  <c r="C648" i="2"/>
  <c r="B648" i="2"/>
  <c r="C647" i="2"/>
  <c r="B647" i="2"/>
  <c r="D646" i="2"/>
  <c r="C646" i="2"/>
  <c r="B646" i="2"/>
  <c r="A646" i="2"/>
  <c r="D645" i="2"/>
  <c r="C645" i="2"/>
  <c r="B645" i="2"/>
  <c r="A645" i="2"/>
  <c r="C644" i="2"/>
  <c r="B644" i="2"/>
  <c r="A644" i="2"/>
  <c r="C643" i="2"/>
  <c r="B643" i="2"/>
  <c r="A643" i="2"/>
  <c r="C642" i="2"/>
  <c r="B642" i="2"/>
  <c r="A642" i="2"/>
  <c r="C641" i="2"/>
  <c r="B641" i="2"/>
  <c r="A641" i="2"/>
  <c r="C640" i="2"/>
  <c r="B640" i="2"/>
  <c r="A640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C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C619" i="2"/>
  <c r="A619" i="2"/>
  <c r="D618" i="2"/>
  <c r="C618" i="2"/>
  <c r="A618" i="2"/>
  <c r="D617" i="2"/>
  <c r="C617" i="2"/>
  <c r="B617" i="2"/>
  <c r="A617" i="2"/>
  <c r="D616" i="2"/>
  <c r="C616" i="2"/>
  <c r="A616" i="2"/>
  <c r="D615" i="2"/>
  <c r="C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</calcChain>
</file>

<file path=xl/sharedStrings.xml><?xml version="1.0" encoding="utf-8"?>
<sst xmlns="http://schemas.openxmlformats.org/spreadsheetml/2006/main" count="13" uniqueCount="13">
  <si>
    <t>Дата</t>
  </si>
  <si>
    <t>Филиал</t>
  </si>
  <si>
    <t xml:space="preserve">Кепка </t>
  </si>
  <si>
    <t>Поло</t>
  </si>
  <si>
    <t>Поло менеджера, директора</t>
  </si>
  <si>
    <t xml:space="preserve">Бандана </t>
  </si>
  <si>
    <t xml:space="preserve">Нарукавники </t>
  </si>
  <si>
    <t xml:space="preserve">Балаклава </t>
  </si>
  <si>
    <t>Сотрудник</t>
  </si>
  <si>
    <t>Lavozim</t>
  </si>
  <si>
    <t>FIO</t>
  </si>
  <si>
    <t>Filial</t>
  </si>
  <si>
    <t>Tug'ilgan_sana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</si>
</sst>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8" formatCode="dd\.mm"/>
    <numFmt numFmtId="169" formatCode="d&quot; &quot;mmmm&quot; &quot;yyyy&quot; г.&quot;"/>
  </numFmts>
  <fonts count="8" x14ac:knownFonts="1">
    <font>
      <sz val="10"/>
      <color rgb="FF000000"/>
      <name val="Arial"/>
      <scheme val="minor"/>
    </font>
    <font>
      <sz val="14"/>
      <color rgb="FF000000"/>
      <name val="Calibri"/>
    </font>
    <font>
      <sz val="14"/>
      <color theme="1"/>
      <name val="Calibri"/>
    </font>
    <font>
      <sz val="10"/>
      <color theme="1"/>
      <name val="Arial"/>
      <scheme val="minor"/>
    </font>
    <font>
      <b/>
      <sz val="16"/>
      <color theme="1"/>
      <name val="Calibri"/>
    </font>
    <font>
      <b/>
      <sz val="15"/>
      <color rgb="FFFF0000"/>
      <name val="Calibri"/>
    </font>
    <font>
      <sz val="17"/>
      <color theme="1"/>
      <name val="Calibri"/>
    </font>
    <font>
      <sz val="15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F2C7"/>
        <bgColor rgb="FFEAF2C7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9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169" fontId="1" fillId="2" borderId="0" xfId="0" applyNumberFormat="1" applyFont="1" applyFill="1" applyAlignment="1">
      <alignment horizontal="center" vertical="center"/>
    </xf>
    <xf numFmtId="0" fontId="0" fillId="0" borderId="2" xfId="0" applyFont="1" applyBorder="1" applyAlignment="1"/>
    <xf numFmtId="0" fontId="2" fillId="2" borderId="2" xfId="0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3" fillId="0" borderId="2" xfId="0" applyFont="1" applyBorder="1"/>
    <xf numFmtId="164" fontId="2" fillId="2" borderId="2" xfId="0" applyNumberFormat="1" applyFont="1" applyFill="1" applyBorder="1" applyAlignment="1">
      <alignment horizontal="left" vertical="center"/>
    </xf>
    <xf numFmtId="164" fontId="3" fillId="0" borderId="2" xfId="0" applyNumberFormat="1" applyFont="1" applyBorder="1"/>
    <xf numFmtId="0" fontId="3" fillId="2" borderId="2" xfId="0" applyFont="1" applyFill="1" applyBorder="1"/>
    <xf numFmtId="168" fontId="7" fillId="3" borderId="2" xfId="0" applyNumberFormat="1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68" fontId="7" fillId="3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1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</sheetPr>
  <dimension ref="A1:D1003"/>
  <sheetViews>
    <sheetView showGridLines="0" tabSelected="1" zoomScale="70" zoomScaleNormal="70" workbookViewId="0">
      <pane xSplit="4" ySplit="2" topLeftCell="E3" activePane="bottomRight" state="frozen"/>
      <selection pane="topRight" activeCell="N1" sqref="N1"/>
      <selection pane="bottomLeft" activeCell="A3" sqref="A3"/>
      <selection pane="bottomRight" activeCell="D6" sqref="D6"/>
    </sheetView>
  </sheetViews>
  <sheetFormatPr defaultColWidth="12.6640625" defaultRowHeight="15.75" customHeight="1" outlineLevelRow="1" outlineLevelCol="1" x14ac:dyDescent="0.25"/>
  <cols>
    <col min="1" max="1" width="31.6640625" style="32" customWidth="1"/>
    <col min="2" max="2" width="31.77734375" style="32" customWidth="1" outlineLevel="1"/>
    <col min="3" max="3" width="55.21875" style="32" customWidth="1"/>
    <col min="4" max="4" width="63" style="32" bestFit="1" customWidth="1"/>
    <col min="5" max="16384" width="12.6640625" style="32"/>
  </cols>
  <sheetData>
    <row r="1" spans="1:4" ht="57" customHeight="1" outlineLevel="1" x14ac:dyDescent="0.25">
      <c r="A1" s="40" t="s">
        <v>11</v>
      </c>
      <c r="B1" s="41" t="s">
        <v>12</v>
      </c>
      <c r="C1" s="42" t="s">
        <v>10</v>
      </c>
      <c r="D1" s="43" t="s">
        <v>9</v>
      </c>
    </row>
    <row r="2" spans="1:4" ht="90.75" customHeight="1" outlineLevel="1" x14ac:dyDescent="0.25">
      <c r="A2" s="33" t="str">
        <f ca="1">IFERROR(__xludf.DUMMYFUNCTION("""COMPUTED_VALUE"""),"601. Андижон_Навруз")</f>
        <v>601. Андижон_Навруз</v>
      </c>
      <c r="B2" s="34">
        <f ca="1">IFERROR(__xludf.DUMMYFUNCTION("""COMPUTED_VALUE"""),30963)</f>
        <v>30963</v>
      </c>
      <c r="C2" s="35" t="str">
        <f ca="1">IFERROR(__xludf.DUMMYFUNCTION("""COMPUTED_VALUE"""),"YUSUPOV TOXIRJON DAVLATBAYEVICH")</f>
        <v>YUSUPOV TOXIRJON DAVLATBAYEVICH</v>
      </c>
      <c r="D2" s="35" t="str">
        <f ca="1">IFERROR(__xludf.DUMMYFUNCTION("""COMPUTED_VALUE"""),"Управляющий")</f>
        <v>Управляющий</v>
      </c>
    </row>
    <row r="3" spans="1:4" ht="18" customHeight="1" x14ac:dyDescent="0.25">
      <c r="A3" s="33" t="str">
        <f ca="1">IFERROR(__xludf.DUMMYFUNCTION("""COMPUTED_VALUE"""),"601. Андижон_Навруз")</f>
        <v>601. Андижон_Навруз</v>
      </c>
      <c r="B3" s="34">
        <f ca="1">IFERROR(__xludf.DUMMYFUNCTION("""COMPUTED_VALUE"""),37777)</f>
        <v>37777</v>
      </c>
      <c r="C3" s="35" t="str">
        <f ca="1">IFERROR(__xludf.DUMMYFUNCTION("""COMPUTED_VALUE"""),"RAXMATALIYEV FAXRIDDIN XUSNIDDIN O'G'LI")</f>
        <v>RAXMATALIYEV FAXRIDDIN XUSNIDDIN O'G'LI</v>
      </c>
      <c r="D3" s="35" t="str">
        <f ca="1">IFERROR(__xludf.DUMMYFUNCTION("""COMPUTED_VALUE"""),"Сменный менеджер")</f>
        <v>Сменный менеджер</v>
      </c>
    </row>
    <row r="4" spans="1:4" ht="18" customHeight="1" x14ac:dyDescent="0.25">
      <c r="A4" s="33" t="str">
        <f ca="1">IFERROR(__xludf.DUMMYFUNCTION("""COMPUTED_VALUE"""),"601. Андижон_Навруз")</f>
        <v>601. Андижон_Навруз</v>
      </c>
      <c r="B4" s="34">
        <f ca="1">IFERROR(__xludf.DUMMYFUNCTION("""COMPUTED_VALUE"""),38514)</f>
        <v>38514</v>
      </c>
      <c r="C4" s="35" t="str">
        <f ca="1">IFERROR(__xludf.DUMMYFUNCTION("""COMPUTED_VALUE"""),"MO'MINJONOV HASANBOY MUZAFFARJON O'G'LI")</f>
        <v>MO'MINJONOV HASANBOY MUZAFFARJON O'G'LI</v>
      </c>
      <c r="D4" s="35" t="str">
        <f ca="1">IFERROR(__xludf.DUMMYFUNCTION("""COMPUTED_VALUE"""),"Сменный менеджер")</f>
        <v>Сменный менеджер</v>
      </c>
    </row>
    <row r="5" spans="1:4" ht="18" customHeight="1" x14ac:dyDescent="0.25">
      <c r="A5" s="33" t="str">
        <f ca="1">IFERROR(__xludf.DUMMYFUNCTION("""COMPUTED_VALUE"""),"601. Андижон_Навруз")</f>
        <v>601. Андижон_Навруз</v>
      </c>
      <c r="B5" s="34">
        <f ca="1">IFERROR(__xludf.DUMMYFUNCTION("""COMPUTED_VALUE"""),34606)</f>
        <v>34606</v>
      </c>
      <c r="C5" s="35" t="str">
        <f ca="1">IFERROR(__xludf.DUMMYFUNCTION("""COMPUTED_VALUE"""),"ODILJONOV MUXAMMAD NURIDDIN O'G'LI")</f>
        <v>ODILJONOV MUXAMMAD NURIDDIN O'G'LI</v>
      </c>
      <c r="D5" s="35" t="str">
        <f ca="1">IFERROR(__xludf.DUMMYFUNCTION("""COMPUTED_VALUE"""),"Лидер заготовитель продуктов и сырья")</f>
        <v>Лидер заготовитель продуктов и сырья</v>
      </c>
    </row>
    <row r="6" spans="1:4" ht="18" customHeight="1" x14ac:dyDescent="0.25">
      <c r="A6" s="33" t="str">
        <f ca="1">IFERROR(__xludf.DUMMYFUNCTION("""COMPUTED_VALUE"""),"601. Андижон_Навруз")</f>
        <v>601. Андижон_Навруз</v>
      </c>
      <c r="B6" s="34">
        <f ca="1">IFERROR(__xludf.DUMMYFUNCTION("""COMPUTED_VALUE"""),38381)</f>
        <v>38381</v>
      </c>
      <c r="C6" s="35" t="str">
        <f ca="1">IFERROR(__xludf.DUMMYFUNCTION("""COMPUTED_VALUE"""),"A'ZAMXO'JAYEVA MOXLAROYIM ILXOMJON QIZI")</f>
        <v>A'ZAMXO'JAYEVA MOXLAROYIM ILXOMJON QIZI</v>
      </c>
      <c r="D6" s="35" t="str">
        <f ca="1">IFERROR(__xludf.DUMMYFUNCTION("""COMPUTED_VALUE"""),"Лидер обслуживания")</f>
        <v>Лидер обслуживания</v>
      </c>
    </row>
    <row r="7" spans="1:4" ht="18" customHeight="1" x14ac:dyDescent="0.25">
      <c r="A7" s="33" t="str">
        <f ca="1">IFERROR(__xludf.DUMMYFUNCTION("""COMPUTED_VALUE"""),"601. Андижон_Навруз")</f>
        <v>601. Андижон_Навруз</v>
      </c>
      <c r="B7" s="34">
        <f ca="1">IFERROR(__xludf.DUMMYFUNCTION("""COMPUTED_VALUE"""),38936)</f>
        <v>38936</v>
      </c>
      <c r="C7" s="35" t="str">
        <f ca="1">IFERROR(__xludf.DUMMYFUNCTION("""COMPUTED_VALUE"""),"MUXTAROVA SEVARA XUSHNITBEK QIZI")</f>
        <v>MUXTAROVA SEVARA XUSHNITBEK QIZI</v>
      </c>
      <c r="D7" s="35" t="str">
        <f ca="1">IFERROR(__xludf.DUMMYFUNCTION("""COMPUTED_VALUE"""),"Универсальный сотрудник Front line")</f>
        <v>Универсальный сотрудник Front line</v>
      </c>
    </row>
    <row r="8" spans="1:4" ht="18" customHeight="1" x14ac:dyDescent="0.25">
      <c r="A8" s="33" t="str">
        <f ca="1">IFERROR(__xludf.DUMMYFUNCTION("""COMPUTED_VALUE"""),"601. Андижон_Навруз")</f>
        <v>601. Андижон_Навруз</v>
      </c>
      <c r="B8" s="34">
        <f ca="1">IFERROR(__xludf.DUMMYFUNCTION("""COMPUTED_VALUE"""),29872)</f>
        <v>29872</v>
      </c>
      <c r="C8" s="35" t="str">
        <f ca="1">IFERROR(__xludf.DUMMYFUNCTION("""COMPUTED_VALUE"""),"BAKIEVA NARGIZA TOXIRJONOVNA")</f>
        <v>BAKIEVA NARGIZA TOXIRJONOVNA</v>
      </c>
      <c r="D8" s="35" t="str">
        <f ca="1">IFERROR(__xludf.DUMMYFUNCTION("""COMPUTED_VALUE"""),"Старший рабочий кухни (Техничка, мойка)")</f>
        <v>Старший рабочий кухни (Техничка, мойка)</v>
      </c>
    </row>
    <row r="9" spans="1:4" ht="18" customHeight="1" x14ac:dyDescent="0.25">
      <c r="A9" s="33" t="str">
        <f ca="1">IFERROR(__xludf.DUMMYFUNCTION("""COMPUTED_VALUE"""),"601. Андижон_Навруз")</f>
        <v>601. Андижон_Навруз</v>
      </c>
      <c r="B9" s="34">
        <f ca="1">IFERROR(__xludf.DUMMYFUNCTION("""COMPUTED_VALUE"""),39006)</f>
        <v>39006</v>
      </c>
      <c r="C9" s="35" t="str">
        <f ca="1">IFERROR(__xludf.DUMMYFUNCTION("""COMPUTED_VALUE"""),"EGAMBERDIYEV SHOHJAXON ILXOMJON O'G'LI")</f>
        <v>EGAMBERDIYEV SHOHJAXON ILXOMJON O'G'LI</v>
      </c>
      <c r="D9" s="35" t="str">
        <f ca="1">IFERROR(__xludf.DUMMYFUNCTION("""COMPUTED_VALUE"""),"Универсальный повар WOK")</f>
        <v>Универсальный повар WOK</v>
      </c>
    </row>
    <row r="10" spans="1:4" ht="18" customHeight="1" x14ac:dyDescent="0.25">
      <c r="A10" s="33" t="str">
        <f ca="1">IFERROR(__xludf.DUMMYFUNCTION("""COMPUTED_VALUE"""),"601. Андижон_Навруз")</f>
        <v>601. Андижон_Навруз</v>
      </c>
      <c r="B10" s="34">
        <f ca="1">IFERROR(__xludf.DUMMYFUNCTION("""COMPUTED_VALUE"""),39202)</f>
        <v>39202</v>
      </c>
      <c r="C10" s="35" t="str">
        <f ca="1">IFERROR(__xludf.DUMMYFUNCTION("""COMPUTED_VALUE"""),"XOLBOYEV BAHRIDDIN ABDUSALIM O'G'LI")</f>
        <v>XOLBOYEV BAHRIDDIN ABDUSALIM O'G'LI</v>
      </c>
      <c r="D10" s="35" t="str">
        <f ca="1">IFERROR(__xludf.DUMMYFUNCTION("""COMPUTED_VALUE"""),"Пиццерист")</f>
        <v>Пиццерист</v>
      </c>
    </row>
    <row r="11" spans="1:4" ht="18" customHeight="1" x14ac:dyDescent="0.25">
      <c r="A11" s="33" t="str">
        <f ca="1">IFERROR(__xludf.DUMMYFUNCTION("""COMPUTED_VALUE"""),"601. Андижон_Навруз")</f>
        <v>601. Андижон_Навруз</v>
      </c>
      <c r="B11" s="34">
        <f ca="1">IFERROR(__xludf.DUMMYFUNCTION("""COMPUTED_VALUE"""),39372)</f>
        <v>39372</v>
      </c>
      <c r="C11" s="35" t="str">
        <f ca="1">IFERROR(__xludf.DUMMYFUNCTION("""COMPUTED_VALUE"""),"MARIBJONOVA XALIMAXON MUZAFFARJON QIZI")</f>
        <v>MARIBJONOVA XALIMAXON MUZAFFARJON QIZI</v>
      </c>
      <c r="D11" s="35" t="str">
        <f ca="1">IFERROR(__xludf.DUMMYFUNCTION("""COMPUTED_VALUE"""),"Пиццерист")</f>
        <v>Пиццерист</v>
      </c>
    </row>
    <row r="12" spans="1:4" ht="18" customHeight="1" x14ac:dyDescent="0.25">
      <c r="A12" s="33" t="str">
        <f ca="1">IFERROR(__xludf.DUMMYFUNCTION("""COMPUTED_VALUE"""),"601. Андижон_Навруз")</f>
        <v>601. Андижон_Навруз</v>
      </c>
      <c r="B12" s="34">
        <f ca="1">IFERROR(__xludf.DUMMYFUNCTION("""COMPUTED_VALUE"""),37022)</f>
        <v>37022</v>
      </c>
      <c r="C12" s="35" t="str">
        <f ca="1">IFERROR(__xludf.DUMMYFUNCTION("""COMPUTED_VALUE"""),"NE'MATOV FAZLIDDIN MO'MINJON O'G'LI")</f>
        <v>NE'MATOV FAZLIDDIN MO'MINJON O'G'LI</v>
      </c>
      <c r="D12" s="35" t="str">
        <f ca="1">IFERROR(__xludf.DUMMYFUNCTION("""COMPUTED_VALUE"""),"Пиццерист")</f>
        <v>Пиццерист</v>
      </c>
    </row>
    <row r="13" spans="1:4" ht="18" customHeight="1" x14ac:dyDescent="0.25">
      <c r="A13" s="33" t="str">
        <f ca="1">IFERROR(__xludf.DUMMYFUNCTION("""COMPUTED_VALUE"""),"601. Андижон_Навруз")</f>
        <v>601. Андижон_Навруз</v>
      </c>
      <c r="B13" s="34">
        <f ca="1">IFERROR(__xludf.DUMMYFUNCTION("""COMPUTED_VALUE"""),38552)</f>
        <v>38552</v>
      </c>
      <c r="C13" s="35" t="str">
        <f ca="1">IFERROR(__xludf.DUMMYFUNCTION("""COMPUTED_VALUE"""),"QOBULOVA OZODAXON MIRZOXIDJON QIZI")</f>
        <v>QOBULOVA OZODAXON MIRZOXIDJON QIZI</v>
      </c>
      <c r="D13" s="35" t="str">
        <f ca="1">IFERROR(__xludf.DUMMYFUNCTION("""COMPUTED_VALUE"""),"Универсальный сотрудник Front line")</f>
        <v>Универсальный сотрудник Front line</v>
      </c>
    </row>
    <row r="14" spans="1:4" ht="18" customHeight="1" x14ac:dyDescent="0.25">
      <c r="A14" s="33" t="str">
        <f ca="1">IFERROR(__xludf.DUMMYFUNCTION("""COMPUTED_VALUE"""),"601. Андижон_Навруз")</f>
        <v>601. Андижон_Навруз</v>
      </c>
      <c r="B14" s="34">
        <f ca="1">IFERROR(__xludf.DUMMYFUNCTION("""COMPUTED_VALUE"""),38541)</f>
        <v>38541</v>
      </c>
      <c r="C14" s="35" t="str">
        <f ca="1">IFERROR(__xludf.DUMMYFUNCTION("""COMPUTED_VALUE"""),"DONIYOROV DILXUSHBEK RUSTAMBEK O'G'LI")</f>
        <v>DONIYOROV DILXUSHBEK RUSTAMBEK O'G'LI</v>
      </c>
      <c r="D14" s="35" t="str">
        <f ca="1">IFERROR(__xludf.DUMMYFUNCTION("""COMPUTED_VALUE"""),"Универсальный повар Street")</f>
        <v>Универсальный повар Street</v>
      </c>
    </row>
    <row r="15" spans="1:4" ht="18" customHeight="1" x14ac:dyDescent="0.25">
      <c r="A15" s="33" t="str">
        <f ca="1">IFERROR(__xludf.DUMMYFUNCTION("""COMPUTED_VALUE"""),"601. Андижон_Навруз")</f>
        <v>601. Андижон_Навруз</v>
      </c>
      <c r="B15" s="34">
        <f ca="1">IFERROR(__xludf.DUMMYFUNCTION("""COMPUTED_VALUE"""),37535)</f>
        <v>37535</v>
      </c>
      <c r="C15" s="35" t="str">
        <f ca="1">IFERROR(__xludf.DUMMYFUNCTION("""COMPUTED_VALUE"""),"AKMALOV ALISHER UMID O'G'LI")</f>
        <v>AKMALOV ALISHER UMID O'G'LI</v>
      </c>
      <c r="D15" s="35" t="str">
        <f ca="1">IFERROR(__xludf.DUMMYFUNCTION("""COMPUTED_VALUE"""),"Пиццерист")</f>
        <v>Пиццерист</v>
      </c>
    </row>
    <row r="16" spans="1:4" ht="18" customHeight="1" x14ac:dyDescent="0.25">
      <c r="A16" s="33" t="str">
        <f ca="1">IFERROR(__xludf.DUMMYFUNCTION("""COMPUTED_VALUE"""),"601. Андижон_Навруз")</f>
        <v>601. Андижон_Навруз</v>
      </c>
      <c r="B16" s="34">
        <f ca="1">IFERROR(__xludf.DUMMYFUNCTION("""COMPUTED_VALUE"""),38990)</f>
        <v>38990</v>
      </c>
      <c r="C16" s="35" t="str">
        <f ca="1">IFERROR(__xludf.DUMMYFUNCTION("""COMPUTED_VALUE"""),"NABIJONOV JAVOXIRBEK TO'LQINJON O'G'LI")</f>
        <v>NABIJONOV JAVOXIRBEK TO'LQINJON O'G'LI</v>
      </c>
      <c r="D16" s="35" t="str">
        <f ca="1">IFERROR(__xludf.DUMMYFUNCTION("""COMPUTED_VALUE"""),"Универсальный повар WOK")</f>
        <v>Универсальный повар WOK</v>
      </c>
    </row>
    <row r="17" spans="1:4" ht="18" customHeight="1" x14ac:dyDescent="0.25">
      <c r="A17" s="33" t="str">
        <f ca="1">IFERROR(__xludf.DUMMYFUNCTION("""COMPUTED_VALUE"""),"601. Андижон_Навруз")</f>
        <v>601. Андижон_Навруз</v>
      </c>
      <c r="B17" s="34">
        <f ca="1">IFERROR(__xludf.DUMMYFUNCTION("""COMPUTED_VALUE"""),38216)</f>
        <v>38216</v>
      </c>
      <c r="C17" s="35" t="str">
        <f ca="1">IFERROR(__xludf.DUMMYFUNCTION("""COMPUTED_VALUE"""),"XOJIMAXAMADOV ABDULAZIZ MANSURBEK O'G'LI")</f>
        <v>XOJIMAXAMADOV ABDULAZIZ MANSURBEK O'G'LI</v>
      </c>
      <c r="D17" s="35" t="str">
        <f ca="1">IFERROR(__xludf.DUMMYFUNCTION("""COMPUTED_VALUE"""),"Пиццерист")</f>
        <v>Пиццерист</v>
      </c>
    </row>
    <row r="18" spans="1:4" ht="18" customHeight="1" x14ac:dyDescent="0.25">
      <c r="A18" s="33" t="str">
        <f ca="1">IFERROR(__xludf.DUMMYFUNCTION("""COMPUTED_VALUE"""),"601. Андижон_Навруз")</f>
        <v>601. Андижон_Навруз</v>
      </c>
      <c r="B18" s="34">
        <f ca="1">IFERROR(__xludf.DUMMYFUNCTION("""COMPUTED_VALUE"""),39168)</f>
        <v>39168</v>
      </c>
      <c r="C18" s="35" t="str">
        <f ca="1">IFERROR(__xludf.DUMMYFUNCTION("""COMPUTED_VALUE"""),"SHUXRATOVA SARVINOZ ULUG'BEK QIZI")</f>
        <v>SHUXRATOVA SARVINOZ ULUG'BEK QIZI</v>
      </c>
      <c r="D18" s="35" t="str">
        <f ca="1">IFERROR(__xludf.DUMMYFUNCTION("""COMPUTED_VALUE"""),"Младший пиццерист")</f>
        <v>Младший пиццерист</v>
      </c>
    </row>
    <row r="19" spans="1:4" ht="18" customHeight="1" x14ac:dyDescent="0.25">
      <c r="A19" s="33" t="str">
        <f ca="1">IFERROR(__xludf.DUMMYFUNCTION("""COMPUTED_VALUE"""),"601. Андижон_Навруз")</f>
        <v>601. Андижон_Навруз</v>
      </c>
      <c r="B19" s="34">
        <f ca="1">IFERROR(__xludf.DUMMYFUNCTION("""COMPUTED_VALUE"""),35806)</f>
        <v>35806</v>
      </c>
      <c r="C19" s="35" t="str">
        <f ca="1">IFERROR(__xludf.DUMMYFUNCTION("""COMPUTED_VALUE"""),"TURSUNBOYEVA MUSLIMAXON FAZLIDDIN QIZI")</f>
        <v>TURSUNBOYEVA MUSLIMAXON FAZLIDDIN QIZI</v>
      </c>
      <c r="D19" s="35" t="str">
        <f ca="1">IFERROR(__xludf.DUMMYFUNCTION("""COMPUTED_VALUE"""),"Универсальный повар Street")</f>
        <v>Универсальный повар Street</v>
      </c>
    </row>
    <row r="20" spans="1:4" ht="18" customHeight="1" x14ac:dyDescent="0.25">
      <c r="A20" s="33" t="str">
        <f ca="1">IFERROR(__xludf.DUMMYFUNCTION("""COMPUTED_VALUE"""),"601. Андижон_Навруз")</f>
        <v>601. Андижон_Навруз</v>
      </c>
      <c r="B20" s="34">
        <f ca="1">IFERROR(__xludf.DUMMYFUNCTION("""COMPUTED_VALUE"""),38464)</f>
        <v>38464</v>
      </c>
      <c r="C20" s="35" t="str">
        <f ca="1">IFERROR(__xludf.DUMMYFUNCTION("""COMPUTED_VALUE"""),"DOLIMOVA ODINAXON ZAFARBEK QIZI")</f>
        <v>DOLIMOVA ODINAXON ZAFARBEK QIZI</v>
      </c>
      <c r="D20" s="35" t="str">
        <f ca="1">IFERROR(__xludf.DUMMYFUNCTION("""COMPUTED_VALUE"""),"Универсальный сотрудник Front line")</f>
        <v>Универсальный сотрудник Front line</v>
      </c>
    </row>
    <row r="21" spans="1:4" ht="18" customHeight="1" x14ac:dyDescent="0.25">
      <c r="A21" s="33" t="str">
        <f ca="1">IFERROR(__xludf.DUMMYFUNCTION("""COMPUTED_VALUE"""),"601. Андижон_Навруз")</f>
        <v>601. Андижон_Навруз</v>
      </c>
      <c r="B21" s="34">
        <f ca="1">IFERROR(__xludf.DUMMYFUNCTION("""COMPUTED_VALUE"""),38217)</f>
        <v>38217</v>
      </c>
      <c r="C21" s="35" t="str">
        <f ca="1">IFERROR(__xludf.DUMMYFUNCTION("""COMPUTED_VALUE"""),"SOLIYEVA ZILOLAXON KARIMJON QIZI")</f>
        <v>SOLIYEVA ZILOLAXON KARIMJON QIZI</v>
      </c>
      <c r="D21" s="35" t="str">
        <f ca="1">IFERROR(__xludf.DUMMYFUNCTION("""COMPUTED_VALUE"""),"Младший пиццерист")</f>
        <v>Младший пиццерист</v>
      </c>
    </row>
    <row r="22" spans="1:4" ht="18" customHeight="1" x14ac:dyDescent="0.25">
      <c r="A22" s="33" t="str">
        <f ca="1">IFERROR(__xludf.DUMMYFUNCTION("""COMPUTED_VALUE"""),"601. Андижон_Навруз")</f>
        <v>601. Андижон_Навруз</v>
      </c>
      <c r="B22" s="34">
        <f ca="1">IFERROR(__xludf.DUMMYFUNCTION("""COMPUTED_VALUE"""),38760)</f>
        <v>38760</v>
      </c>
      <c r="C22" s="35" t="str">
        <f ca="1">IFERROR(__xludf.DUMMYFUNCTION("""COMPUTED_VALUE"""),"SHAXOBIDDINOV TOHIRMALIK SIROJIDDIN O'G'LI")</f>
        <v>SHAXOBIDDINOV TOHIRMALIK SIROJIDDIN O'G'LI</v>
      </c>
      <c r="D22" s="35" t="str">
        <f ca="1">IFERROR(__xludf.DUMMYFUNCTION("""COMPUTED_VALUE"""),"Стажер повар Street")</f>
        <v>Стажер повар Street</v>
      </c>
    </row>
    <row r="23" spans="1:4" ht="18" customHeight="1" x14ac:dyDescent="0.25">
      <c r="A23" s="33" t="str">
        <f ca="1">IFERROR(__xludf.DUMMYFUNCTION("""COMPUTED_VALUE"""),"601. Андижон_Навруз")</f>
        <v>601. Андижон_Навруз</v>
      </c>
      <c r="B23" s="34">
        <f ca="1">IFERROR(__xludf.DUMMYFUNCTION("""COMPUTED_VALUE"""),30549)</f>
        <v>30549</v>
      </c>
      <c r="C23" s="35" t="str">
        <f ca="1">IFERROR(__xludf.DUMMYFUNCTION("""COMPUTED_VALUE"""),"AKBAROVA ZIYODAXON MAXAMADJONOVA")</f>
        <v>AKBAROVA ZIYODAXON MAXAMADJONOVA</v>
      </c>
      <c r="D23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24" spans="1:4" ht="18" customHeight="1" x14ac:dyDescent="0.25">
      <c r="A24" s="33" t="str">
        <f ca="1">IFERROR(__xludf.DUMMYFUNCTION("""COMPUTED_VALUE"""),"601. Андижон_Навруз")</f>
        <v>601. Андижон_Навруз</v>
      </c>
      <c r="B24" s="34">
        <f ca="1">IFERROR(__xludf.DUMMYFUNCTION("""COMPUTED_VALUE"""),39036)</f>
        <v>39036</v>
      </c>
      <c r="C24" s="35" t="str">
        <f ca="1">IFERROR(__xludf.DUMMYFUNCTION("""COMPUTED_VALUE"""),"AMINKULOV BAXROM MUZAFFAROVICH")</f>
        <v>AMINKULOV BAXROM MUZAFFAROVICH</v>
      </c>
      <c r="D24" s="35" t="str">
        <f ca="1">IFERROR(__xludf.DUMMYFUNCTION("""COMPUTED_VALUE"""),"Младший пиццерист")</f>
        <v>Младший пиццерист</v>
      </c>
    </row>
    <row r="25" spans="1:4" ht="18" customHeight="1" x14ac:dyDescent="0.25">
      <c r="A25" s="33" t="str">
        <f ca="1">IFERROR(__xludf.DUMMYFUNCTION("""COMPUTED_VALUE"""),"601. Андижон_Навруз")</f>
        <v>601. Андижон_Навруз</v>
      </c>
      <c r="B25" s="34">
        <f ca="1">IFERROR(__xludf.DUMMYFUNCTION("""COMPUTED_VALUE"""),39297)</f>
        <v>39297</v>
      </c>
      <c r="C25" s="35" t="str">
        <f ca="1">IFERROR(__xludf.DUMMYFUNCTION("""COMPUTED_VALUE"""),"ISMATILLAYEV XABIBULLO ZAFARJON O'G'LI")</f>
        <v>ISMATILLAYEV XABIBULLO ZAFARJON O'G'LI</v>
      </c>
      <c r="D25" s="35" t="str">
        <f ca="1">IFERROR(__xludf.DUMMYFUNCTION("""COMPUTED_VALUE"""),"Младший пиццерист")</f>
        <v>Младший пиццерист</v>
      </c>
    </row>
    <row r="26" spans="1:4" ht="18" customHeight="1" x14ac:dyDescent="0.25">
      <c r="A26" s="33" t="str">
        <f ca="1">IFERROR(__xludf.DUMMYFUNCTION("""COMPUTED_VALUE"""),"601. Андижон_Навруз")</f>
        <v>601. Андижон_Навруз</v>
      </c>
      <c r="B26" s="34">
        <f ca="1">IFERROR(__xludf.DUMMYFUNCTION("""COMPUTED_VALUE"""),39431)</f>
        <v>39431</v>
      </c>
      <c r="C26" s="35" t="str">
        <f ca="1">IFERROR(__xludf.DUMMYFUNCTION("""COMPUTED_VALUE"""),"MO'MINOV XASANBOY BAXTIYORJON O'G'LI")</f>
        <v>MO'MINOV XASANBOY BAXTIYORJON O'G'LI</v>
      </c>
      <c r="D26" s="35" t="str">
        <f ca="1">IFERROR(__xludf.DUMMYFUNCTION("""COMPUTED_VALUE"""),"Стажер повар WOK")</f>
        <v>Стажер повар WOK</v>
      </c>
    </row>
    <row r="27" spans="1:4" ht="18" customHeight="1" x14ac:dyDescent="0.25">
      <c r="A27" s="33" t="str">
        <f ca="1">IFERROR(__xludf.DUMMYFUNCTION("""COMPUTED_VALUE"""),"601. Андижон_Навруз")</f>
        <v>601. Андижон_Навруз</v>
      </c>
      <c r="B27" s="34">
        <f ca="1">IFERROR(__xludf.DUMMYFUNCTION("""COMPUTED_VALUE"""),39379)</f>
        <v>39379</v>
      </c>
      <c r="C27" s="35" t="str">
        <f ca="1">IFERROR(__xludf.DUMMYFUNCTION("""COMPUTED_VALUE"""),"KOMILOV ABDULKUDDUS MUZAFFAR O'GLI")</f>
        <v>KOMILOV ABDULKUDDUS MUZAFFAR O'GLI</v>
      </c>
      <c r="D27" s="35" t="str">
        <f ca="1">IFERROR(__xludf.DUMMYFUNCTION("""COMPUTED_VALUE"""),"Стажер повар WOK")</f>
        <v>Стажер повар WOK</v>
      </c>
    </row>
    <row r="28" spans="1:4" ht="18" customHeight="1" x14ac:dyDescent="0.25">
      <c r="A28" s="33" t="str">
        <f ca="1">IFERROR(__xludf.DUMMYFUNCTION("""COMPUTED_VALUE"""),"601. Андижон_Навруз")</f>
        <v>601. Андижон_Навруз</v>
      </c>
      <c r="B28" s="34">
        <f ca="1">IFERROR(__xludf.DUMMYFUNCTION("""COMPUTED_VALUE"""),39457)</f>
        <v>39457</v>
      </c>
      <c r="C28" s="35" t="str">
        <f ca="1">IFERROR(__xludf.DUMMYFUNCTION("""COMPUTED_VALUE"""),"GAYNUTDINOV AMIR G'AYRAT O'G'LI")</f>
        <v>GAYNUTDINOV AMIR G'AYRAT O'G'LI</v>
      </c>
      <c r="D28" s="35" t="str">
        <f ca="1">IFERROR(__xludf.DUMMYFUNCTION("""COMPUTED_VALUE"""),"Младший пиццерист")</f>
        <v>Младший пиццерист</v>
      </c>
    </row>
    <row r="29" spans="1:4" ht="18" customHeight="1" x14ac:dyDescent="0.25">
      <c r="A29" s="33" t="str">
        <f ca="1">IFERROR(__xludf.DUMMYFUNCTION("""COMPUTED_VALUE"""),"601. Андижон_Навруз")</f>
        <v>601. Андижон_Навруз</v>
      </c>
      <c r="B29" s="34">
        <f ca="1">IFERROR(__xludf.DUMMYFUNCTION("""COMPUTED_VALUE"""),39084)</f>
        <v>39084</v>
      </c>
      <c r="C29" s="35" t="str">
        <f ca="1">IFERROR(__xludf.DUMMYFUNCTION("""COMPUTED_VALUE"""),"QOSIMOV YORKINBEK NODIRBEK O'G'LI")</f>
        <v>QOSIMOV YORKINBEK NODIRBEK O'G'LI</v>
      </c>
      <c r="D29" s="35" t="str">
        <f ca="1">IFERROR(__xludf.DUMMYFUNCTION("""COMPUTED_VALUE"""),"Стажер повар WOK")</f>
        <v>Стажер повар WOK</v>
      </c>
    </row>
    <row r="30" spans="1:4" ht="18" customHeight="1" x14ac:dyDescent="0.25">
      <c r="A30" s="33" t="str">
        <f ca="1">IFERROR(__xludf.DUMMYFUNCTION("""COMPUTED_VALUE"""),"601. Андижон_Навруз")</f>
        <v>601. Андижон_Навруз</v>
      </c>
      <c r="B30" s="34">
        <f ca="1">IFERROR(__xludf.DUMMYFUNCTION("""COMPUTED_VALUE"""),39337)</f>
        <v>39337</v>
      </c>
      <c r="C30" s="35" t="str">
        <f ca="1">IFERROR(__xludf.DUMMYFUNCTION("""COMPUTED_VALUE"""),"SHARAFIYEVA ALINA ABDULXAMIDOVA")</f>
        <v>SHARAFIYEVA ALINA ABDULXAMIDOVA</v>
      </c>
      <c r="D30" s="35" t="str">
        <f ca="1">IFERROR(__xludf.DUMMYFUNCTION("""COMPUTED_VALUE"""),"Стажер первoй линии")</f>
        <v>Стажер первoй линии</v>
      </c>
    </row>
    <row r="31" spans="1:4" ht="18" customHeight="1" x14ac:dyDescent="0.25">
      <c r="A31" s="33" t="str">
        <f ca="1">IFERROR(__xludf.DUMMYFUNCTION("""COMPUTED_VALUE"""),"601. Андижон_Навруз")</f>
        <v>601. Андижон_Навруз</v>
      </c>
      <c r="B31" s="34">
        <f ca="1">IFERROR(__xludf.DUMMYFUNCTION("""COMPUTED_VALUE"""),28777)</f>
        <v>28777</v>
      </c>
      <c r="C31" s="35" t="str">
        <f ca="1">IFERROR(__xludf.DUMMYFUNCTION("""COMPUTED_VALUE"""),"MADAMINOVA MUNOJATXON ORIBDJANOVNA")</f>
        <v>MADAMINOVA MUNOJATXON ORIBDJANOVNA</v>
      </c>
      <c r="D31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32" spans="1:4" ht="18" customHeight="1" x14ac:dyDescent="0.25">
      <c r="A32" s="33" t="str">
        <f ca="1">IFERROR(__xludf.DUMMYFUNCTION("""COMPUTED_VALUE"""),"601. Андижон_Навруз")</f>
        <v>601. Андижон_Навруз</v>
      </c>
      <c r="B32" s="34">
        <f ca="1">IFERROR(__xludf.DUMMYFUNCTION("""COMPUTED_VALUE"""),29573)</f>
        <v>29573</v>
      </c>
      <c r="C32" s="35" t="str">
        <f ca="1">IFERROR(__xludf.DUMMYFUNCTION("""COMPUTED_VALUE"""),"IMINOVA NIGORAXON SADIKJANOVNA")</f>
        <v>IMINOVA NIGORAXON SADIKJANOVNA</v>
      </c>
      <c r="D32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33" spans="1:4" ht="18" customHeight="1" x14ac:dyDescent="0.25">
      <c r="A33" s="33" t="str">
        <f ca="1">IFERROR(__xludf.DUMMYFUNCTION("""COMPUTED_VALUE"""),"114. Юнусабад Gallery")</f>
        <v>114. Юнусабад Gallery</v>
      </c>
      <c r="B33" s="34">
        <f ca="1">IFERROR(__xludf.DUMMYFUNCTION("""COMPUTED_VALUE"""),36897)</f>
        <v>36897</v>
      </c>
      <c r="C33" s="35" t="str">
        <f ca="1">IFERROR(__xludf.DUMMYFUNCTION("""COMPUTED_VALUE"""),"OMONOV SHOXRUX ALISHER O'G'LI")</f>
        <v>OMONOV SHOXRUX ALISHER O'G'LI</v>
      </c>
      <c r="D33" s="35" t="str">
        <f ca="1">IFERROR(__xludf.DUMMYFUNCTION("""COMPUTED_VALUE"""),"Управляющий")</f>
        <v>Управляющий</v>
      </c>
    </row>
    <row r="34" spans="1:4" ht="18" customHeight="1" x14ac:dyDescent="0.25">
      <c r="A34" s="33" t="str">
        <f ca="1">IFERROR(__xludf.DUMMYFUNCTION("""COMPUTED_VALUE"""),"114. Юнусабад Gallery")</f>
        <v>114. Юнусабад Gallery</v>
      </c>
      <c r="B34" s="34">
        <f ca="1">IFERROR(__xludf.DUMMYFUNCTION("""COMPUTED_VALUE"""),37282)</f>
        <v>37282</v>
      </c>
      <c r="C34" s="35" t="str">
        <f ca="1">IFERROR(__xludf.DUMMYFUNCTION("""COMPUTED_VALUE"""),"RAJABOV AZIZJON RAFIQ O'G'LI")</f>
        <v>RAJABOV AZIZJON RAFIQ O'G'LI</v>
      </c>
      <c r="D34" s="35" t="str">
        <f ca="1">IFERROR(__xludf.DUMMYFUNCTION("""COMPUTED_VALUE"""),"Сменный менеджер")</f>
        <v>Сменный менеджер</v>
      </c>
    </row>
    <row r="35" spans="1:4" ht="18" customHeight="1" x14ac:dyDescent="0.25">
      <c r="A35" s="33" t="str">
        <f ca="1">IFERROR(__xludf.DUMMYFUNCTION("""COMPUTED_VALUE"""),"114. Юнусабад Gallery")</f>
        <v>114. Юнусабад Gallery</v>
      </c>
      <c r="B35" s="34">
        <f ca="1">IFERROR(__xludf.DUMMYFUNCTION("""COMPUTED_VALUE"""),38145)</f>
        <v>38145</v>
      </c>
      <c r="C35" s="35" t="str">
        <f ca="1">IFERROR(__xludf.DUMMYFUNCTION("""COMPUTED_VALUE"""),"KARIMOV XURSHIDBEK KARIM O'G'LI")</f>
        <v>KARIMOV XURSHIDBEK KARIM O'G'LI</v>
      </c>
      <c r="D35" s="35" t="str">
        <f ca="1">IFERROR(__xludf.DUMMYFUNCTION("""COMPUTED_VALUE"""),"Сменный менеджер")</f>
        <v>Сменный менеджер</v>
      </c>
    </row>
    <row r="36" spans="1:4" ht="18" customHeight="1" x14ac:dyDescent="0.25">
      <c r="A36" s="33" t="str">
        <f ca="1">IFERROR(__xludf.DUMMYFUNCTION("""COMPUTED_VALUE"""),"114. Юнусабад Gallery")</f>
        <v>114. Юнусабад Gallery</v>
      </c>
      <c r="B36" s="34">
        <f ca="1">IFERROR(__xludf.DUMMYFUNCTION("""COMPUTED_VALUE"""),38665)</f>
        <v>38665</v>
      </c>
      <c r="C36" s="35" t="str">
        <f ca="1">IFERROR(__xludf.DUMMYFUNCTION("""COMPUTED_VALUE"""),"ABDUFATTOHOV SANJAR FARRUX O'G'LI")</f>
        <v>ABDUFATTOHOV SANJAR FARRUX O'G'LI</v>
      </c>
      <c r="D36" s="35" t="str">
        <f ca="1">IFERROR(__xludf.DUMMYFUNCTION("""COMPUTED_VALUE"""),"Лидер производствa Street")</f>
        <v>Лидер производствa Street</v>
      </c>
    </row>
    <row r="37" spans="1:4" ht="18" customHeight="1" x14ac:dyDescent="0.25">
      <c r="A37" s="33" t="str">
        <f ca="1">IFERROR(__xludf.DUMMYFUNCTION("""COMPUTED_VALUE"""),"114. Юнусабад Gallery")</f>
        <v>114. Юнусабад Gallery</v>
      </c>
      <c r="B37" s="34">
        <f ca="1">IFERROR(__xludf.DUMMYFUNCTION("""COMPUTED_VALUE"""),38056)</f>
        <v>38056</v>
      </c>
      <c r="C37" s="35" t="str">
        <f ca="1">IFERROR(__xludf.DUMMYFUNCTION("""COMPUTED_VALUE"""),"MALIKOV ELYOR TOSHPO'LOTOVICH")</f>
        <v>MALIKOV ELYOR TOSHPO'LOTOVICH</v>
      </c>
      <c r="D37" s="35" t="str">
        <f ca="1">IFERROR(__xludf.DUMMYFUNCTION("""COMPUTED_VALUE"""),"Лидер производства WOK")</f>
        <v>Лидер производства WOK</v>
      </c>
    </row>
    <row r="38" spans="1:4" ht="18" customHeight="1" x14ac:dyDescent="0.25">
      <c r="A38" s="33" t="str">
        <f ca="1">IFERROR(__xludf.DUMMYFUNCTION("""COMPUTED_VALUE"""),"114. Юнусабад Gallery")</f>
        <v>114. Юнусабад Gallery</v>
      </c>
      <c r="B38" s="34">
        <f ca="1">IFERROR(__xludf.DUMMYFUNCTION("""COMPUTED_VALUE"""),39048)</f>
        <v>39048</v>
      </c>
      <c r="C38" s="35" t="str">
        <f ca="1">IFERROR(__xludf.DUMMYFUNCTION("""COMPUTED_VALUE"""),"OKTAMALIYEV ASADBEK AKBARJON O'G'LI")</f>
        <v>OKTAMALIYEV ASADBEK AKBARJON O'G'LI</v>
      </c>
      <c r="D38" s="35" t="str">
        <f ca="1">IFERROR(__xludf.DUMMYFUNCTION("""COMPUTED_VALUE"""),"Универсальный сотрудник Front line")</f>
        <v>Универсальный сотрудник Front line</v>
      </c>
    </row>
    <row r="39" spans="1:4" ht="18" customHeight="1" x14ac:dyDescent="0.25">
      <c r="A39" s="33" t="str">
        <f ca="1">IFERROR(__xludf.DUMMYFUNCTION("""COMPUTED_VALUE"""),"114. Юнусабад Gallery")</f>
        <v>114. Юнусабад Gallery</v>
      </c>
      <c r="B39" s="34">
        <f ca="1">IFERROR(__xludf.DUMMYFUNCTION("""COMPUTED_VALUE"""),39316)</f>
        <v>39316</v>
      </c>
      <c r="C39" s="35" t="str">
        <f ca="1">IFERROR(__xludf.DUMMYFUNCTION("""COMPUTED_VALUE"""),"MAXAMADAMINOVA SARVINOZ SHUXRATJON QIZI")</f>
        <v>MAXAMADAMINOVA SARVINOZ SHUXRATJON QIZI</v>
      </c>
      <c r="D39" s="35" t="str">
        <f ca="1">IFERROR(__xludf.DUMMYFUNCTION("""COMPUTED_VALUE"""),"Универсальный сотрудник Front line")</f>
        <v>Универсальный сотрудник Front line</v>
      </c>
    </row>
    <row r="40" spans="1:4" ht="18" customHeight="1" x14ac:dyDescent="0.25">
      <c r="A40" s="33" t="str">
        <f ca="1">IFERROR(__xludf.DUMMYFUNCTION("""COMPUTED_VALUE"""),"114. Юнусабад Gallery")</f>
        <v>114. Юнусабад Gallery</v>
      </c>
      <c r="B40" s="34">
        <f ca="1">IFERROR(__xludf.DUMMYFUNCTION("""COMPUTED_VALUE"""),31783)</f>
        <v>31783</v>
      </c>
      <c r="C40" s="35" t="str">
        <f ca="1">IFERROR(__xludf.DUMMYFUNCTION("""COMPUTED_VALUE"""),"SHAMANSUROVA NODIRA SADIRIDINOVNA")</f>
        <v>SHAMANSUROVA NODIRA SADIRIDINOVNA</v>
      </c>
      <c r="D40" s="35" t="str">
        <f ca="1">IFERROR(__xludf.DUMMYFUNCTION("""COMPUTED_VALUE"""),"Лидер производствa Street")</f>
        <v>Лидер производствa Street</v>
      </c>
    </row>
    <row r="41" spans="1:4" ht="18" customHeight="1" x14ac:dyDescent="0.25">
      <c r="A41" s="33" t="str">
        <f ca="1">IFERROR(__xludf.DUMMYFUNCTION("""COMPUTED_VALUE"""),"114. Юнусабад Gallery")</f>
        <v>114. Юнусабад Gallery</v>
      </c>
      <c r="B41" s="34">
        <f ca="1">IFERROR(__xludf.DUMMYFUNCTION("""COMPUTED_VALUE"""),38814)</f>
        <v>38814</v>
      </c>
      <c r="C41" s="35" t="str">
        <f ca="1">IFERROR(__xludf.DUMMYFUNCTION("""COMPUTED_VALUE"""),"RO'ZIYEV BOBURBEK ZOKIR O'G'LI")</f>
        <v>RO'ZIYEV BOBURBEK ZOKIR O'G'LI</v>
      </c>
      <c r="D41" s="35" t="str">
        <f ca="1">IFERROR(__xludf.DUMMYFUNCTION("""COMPUTED_VALUE"""),"Универсал Street_Pizza")</f>
        <v>Универсал Street_Pizza</v>
      </c>
    </row>
    <row r="42" spans="1:4" ht="18" customHeight="1" x14ac:dyDescent="0.25">
      <c r="A42" s="33" t="str">
        <f ca="1">IFERROR(__xludf.DUMMYFUNCTION("""COMPUTED_VALUE"""),"114. Юнусабад Gallery")</f>
        <v>114. Юнусабад Gallery</v>
      </c>
      <c r="B42" s="34">
        <f ca="1">IFERROR(__xludf.DUMMYFUNCTION("""COMPUTED_VALUE"""),39010)</f>
        <v>39010</v>
      </c>
      <c r="C42" s="35" t="str">
        <f ca="1">IFERROR(__xludf.DUMMYFUNCTION("""COMPUTED_VALUE"""),"NURILLAYEV AZIZBEK MO'MINJON O'G'LI")</f>
        <v>NURILLAYEV AZIZBEK MO'MINJON O'G'LI</v>
      </c>
      <c r="D42" s="35" t="str">
        <f ca="1">IFERROR(__xludf.DUMMYFUNCTION("""COMPUTED_VALUE"""),"Универсальный повар WOK")</f>
        <v>Универсальный повар WOK</v>
      </c>
    </row>
    <row r="43" spans="1:4" ht="18" customHeight="1" x14ac:dyDescent="0.25">
      <c r="A43" s="33" t="str">
        <f ca="1">IFERROR(__xludf.DUMMYFUNCTION("""COMPUTED_VALUE"""),"114. Юнусабад Gallery")</f>
        <v>114. Юнусабад Gallery</v>
      </c>
      <c r="B43" s="34">
        <f ca="1">IFERROR(__xludf.DUMMYFUNCTION("""COMPUTED_VALUE"""),39023)</f>
        <v>39023</v>
      </c>
      <c r="C43" s="35" t="str">
        <f ca="1">IFERROR(__xludf.DUMMYFUNCTION("""COMPUTED_VALUE"""),"RAHIMOV BOBOMUROD HUSAN O'G'LI")</f>
        <v>RAHIMOV BOBOMUROD HUSAN O'G'LI</v>
      </c>
      <c r="D43" s="35" t="str">
        <f ca="1">IFERROR(__xludf.DUMMYFUNCTION("""COMPUTED_VALUE"""),"Универсальный повар WOK")</f>
        <v>Универсальный повар WOK</v>
      </c>
    </row>
    <row r="44" spans="1:4" ht="18" customHeight="1" x14ac:dyDescent="0.25">
      <c r="A44" s="33" t="str">
        <f ca="1">IFERROR(__xludf.DUMMYFUNCTION("""COMPUTED_VALUE"""),"114. Юнусабад Gallery")</f>
        <v>114. Юнусабад Gallery</v>
      </c>
      <c r="B44" s="34">
        <f ca="1">IFERROR(__xludf.DUMMYFUNCTION("""COMPUTED_VALUE"""),38643)</f>
        <v>38643</v>
      </c>
      <c r="C44" s="35" t="str">
        <f ca="1">IFERROR(__xludf.DUMMYFUNCTION("""COMPUTED_VALUE"""),"BURONOV DIYORBEK RUSTAM O'G'LI")</f>
        <v>BURONOV DIYORBEK RUSTAM O'G'LI</v>
      </c>
      <c r="D44" s="35" t="str">
        <f ca="1">IFERROR(__xludf.DUMMYFUNCTION("""COMPUTED_VALUE"""),"Пиццерист")</f>
        <v>Пиццерист</v>
      </c>
    </row>
    <row r="45" spans="1:4" ht="18" customHeight="1" x14ac:dyDescent="0.25">
      <c r="A45" s="33" t="str">
        <f ca="1">IFERROR(__xludf.DUMMYFUNCTION("""COMPUTED_VALUE"""),"114. Юнусабад Gallery")</f>
        <v>114. Юнусабад Gallery</v>
      </c>
      <c r="B45" s="34">
        <f ca="1">IFERROR(__xludf.DUMMYFUNCTION("""COMPUTED_VALUE"""),38213)</f>
        <v>38213</v>
      </c>
      <c r="C45" s="35" t="str">
        <f ca="1">IFERROR(__xludf.DUMMYFUNCTION("""COMPUTED_VALUE"""),"SULAYMONOV SARDOR AXTAM O'G'LI")</f>
        <v>SULAYMONOV SARDOR AXTAM O'G'LI</v>
      </c>
      <c r="D45" s="35" t="str">
        <f ca="1">IFERROR(__xludf.DUMMYFUNCTION("""COMPUTED_VALUE"""),"Пиццерист")</f>
        <v>Пиццерист</v>
      </c>
    </row>
    <row r="46" spans="1:4" ht="18" customHeight="1" x14ac:dyDescent="0.25">
      <c r="A46" s="33" t="str">
        <f ca="1">IFERROR(__xludf.DUMMYFUNCTION("""COMPUTED_VALUE"""),"114. Юнусабад Gallery")</f>
        <v>114. Юнусабад Gallery</v>
      </c>
      <c r="B46" s="34">
        <f ca="1">IFERROR(__xludf.DUMMYFUNCTION("""COMPUTED_VALUE"""),32821)</f>
        <v>32821</v>
      </c>
      <c r="C46" s="35" t="str">
        <f ca="1">IFERROR(__xludf.DUMMYFUNCTION("""COMPUTED_VALUE"""),"XALILOVA GULXAYO SHOKIROVNA")</f>
        <v>XALILOVA GULXAYO SHOKIROVNA</v>
      </c>
      <c r="D46" s="35" t="str">
        <f ca="1">IFERROR(__xludf.DUMMYFUNCTION("""COMPUTED_VALUE"""),"Старший рабочий кухни (Техничка, мойка)")</f>
        <v>Старший рабочий кухни (Техничка, мойка)</v>
      </c>
    </row>
    <row r="47" spans="1:4" ht="18" customHeight="1" x14ac:dyDescent="0.25">
      <c r="A47" s="33" t="str">
        <f ca="1">IFERROR(__xludf.DUMMYFUNCTION("""COMPUTED_VALUE"""),"114. Юнусабад Gallery")</f>
        <v>114. Юнусабад Gallery</v>
      </c>
      <c r="B47" s="34">
        <f ca="1">IFERROR(__xludf.DUMMYFUNCTION("""COMPUTED_VALUE"""),39361)</f>
        <v>39361</v>
      </c>
      <c r="C47" s="35" t="str">
        <f ca="1">IFERROR(__xludf.DUMMYFUNCTION("""COMPUTED_VALUE"""),"ABDURASULOVA SHAHNOZA SALIMJON QIZI")</f>
        <v>ABDURASULOVA SHAHNOZA SALIMJON QIZI</v>
      </c>
      <c r="D47" s="35" t="str">
        <f ca="1">IFERROR(__xludf.DUMMYFUNCTION("""COMPUTED_VALUE"""),"Сотрудник первой линии")</f>
        <v>Сотрудник первой линии</v>
      </c>
    </row>
    <row r="48" spans="1:4" ht="18" customHeight="1" x14ac:dyDescent="0.25">
      <c r="A48" s="33" t="str">
        <f ca="1">IFERROR(__xludf.DUMMYFUNCTION("""COMPUTED_VALUE"""),"114. Юнусабад Gallery")</f>
        <v>114. Юнусабад Gallery</v>
      </c>
      <c r="B48" s="34">
        <f ca="1">IFERROR(__xludf.DUMMYFUNCTION("""COMPUTED_VALUE"""),38315)</f>
        <v>38315</v>
      </c>
      <c r="C48" s="35" t="str">
        <f ca="1">IFERROR(__xludf.DUMMYFUNCTION("""COMPUTED_VALUE"""),"SHERBEKOV FARRUXBEK OYBEK O'G'LI")</f>
        <v>SHERBEKOV FARRUXBEK OYBEK O'G'LI</v>
      </c>
      <c r="D48" s="35" t="str">
        <f ca="1">IFERROR(__xludf.DUMMYFUNCTION("""COMPUTED_VALUE"""),"Универсальный повар Street")</f>
        <v>Универсальный повар Street</v>
      </c>
    </row>
    <row r="49" spans="1:4" ht="18" customHeight="1" x14ac:dyDescent="0.25">
      <c r="A49" s="33" t="str">
        <f ca="1">IFERROR(__xludf.DUMMYFUNCTION("""COMPUTED_VALUE"""),"114. Юнусабад Gallery")</f>
        <v>114. Юнусабад Gallery</v>
      </c>
      <c r="B49" s="34">
        <f ca="1">IFERROR(__xludf.DUMMYFUNCTION("""COMPUTED_VALUE"""),39130)</f>
        <v>39130</v>
      </c>
      <c r="C49" s="35" t="str">
        <f ca="1">IFERROR(__xludf.DUMMYFUNCTION("""COMPUTED_VALUE"""),"JO'RABOYEV SAMANDAR MUXTOR O'G'LI")</f>
        <v>JO'RABOYEV SAMANDAR MUXTOR O'G'LI</v>
      </c>
      <c r="D49" s="35" t="str">
        <f ca="1">IFERROR(__xludf.DUMMYFUNCTION("""COMPUTED_VALUE"""),"Повар WOK")</f>
        <v>Повар WOK</v>
      </c>
    </row>
    <row r="50" spans="1:4" ht="18" customHeight="1" x14ac:dyDescent="0.25">
      <c r="A50" s="33" t="str">
        <f ca="1">IFERROR(__xludf.DUMMYFUNCTION("""COMPUTED_VALUE"""),"114. Юнусабад Gallery")</f>
        <v>114. Юнусабад Gallery</v>
      </c>
      <c r="B50" s="34">
        <f ca="1">IFERROR(__xludf.DUMMYFUNCTION("""COMPUTED_VALUE"""),38993)</f>
        <v>38993</v>
      </c>
      <c r="C50" s="35" t="str">
        <f ca="1">IFERROR(__xludf.DUMMYFUNCTION("""COMPUTED_VALUE"""),"RAXIMOV ULUG'BEK DIYORJON O'G'LI")</f>
        <v>RAXIMOV ULUG'BEK DIYORJON O'G'LI</v>
      </c>
      <c r="D50" s="35" t="str">
        <f ca="1">IFERROR(__xludf.DUMMYFUNCTION("""COMPUTED_VALUE"""),"Универсальный повар WOK")</f>
        <v>Универсальный повар WOK</v>
      </c>
    </row>
    <row r="51" spans="1:4" ht="18" customHeight="1" x14ac:dyDescent="0.25">
      <c r="A51" s="33" t="str">
        <f ca="1">IFERROR(__xludf.DUMMYFUNCTION("""COMPUTED_VALUE"""),"114. Юнусабад Gallery")</f>
        <v>114. Юнусабад Gallery</v>
      </c>
      <c r="B51" s="34">
        <f ca="1">IFERROR(__xludf.DUMMYFUNCTION("""COMPUTED_VALUE"""),38570)</f>
        <v>38570</v>
      </c>
      <c r="C51" s="35" t="str">
        <f ca="1">IFERROR(__xludf.DUMMYFUNCTION("""COMPUTED_VALUE"""),"IBODOVA GULSANAM ODIL QIZI")</f>
        <v>IBODOVA GULSANAM ODIL QIZI</v>
      </c>
      <c r="D51" s="35" t="str">
        <f ca="1">IFERROR(__xludf.DUMMYFUNCTION("""COMPUTED_VALUE"""),"Сотрудник первой линии")</f>
        <v>Сотрудник первой линии</v>
      </c>
    </row>
    <row r="52" spans="1:4" ht="18" customHeight="1" x14ac:dyDescent="0.25">
      <c r="A52" s="33" t="str">
        <f ca="1">IFERROR(__xludf.DUMMYFUNCTION("""COMPUTED_VALUE"""),"114. Юнусабад Gallery")</f>
        <v>114. Юнусабад Gallery</v>
      </c>
      <c r="B52" s="34">
        <f ca="1">IFERROR(__xludf.DUMMYFUNCTION("""COMPUTED_VALUE"""),38915)</f>
        <v>38915</v>
      </c>
      <c r="C52" s="35" t="str">
        <f ca="1">IFERROR(__xludf.DUMMYFUNCTION("""COMPUTED_VALUE"""),"NURALIYEVA ZARINA SHERZOD QIZI")</f>
        <v>NURALIYEVA ZARINA SHERZOD QIZI</v>
      </c>
      <c r="D52" s="35" t="str">
        <f ca="1">IFERROR(__xludf.DUMMYFUNCTION("""COMPUTED_VALUE"""),"Универсальный сотрудник Front line")</f>
        <v>Универсальный сотрудник Front line</v>
      </c>
    </row>
    <row r="53" spans="1:4" ht="18" customHeight="1" x14ac:dyDescent="0.25">
      <c r="A53" s="33" t="str">
        <f ca="1">IFERROR(__xludf.DUMMYFUNCTION("""COMPUTED_VALUE"""),"114. Юнусабад Gallery")</f>
        <v>114. Юнусабад Gallery</v>
      </c>
      <c r="B53" s="34">
        <f ca="1">IFERROR(__xludf.DUMMYFUNCTION("""COMPUTED_VALUE"""),38232)</f>
        <v>38232</v>
      </c>
      <c r="C53" s="35" t="str">
        <f ca="1">IFERROR(__xludf.DUMMYFUNCTION("""COMPUTED_VALUE"""),"DUSHAMBOYEV JALIL G'ANIJON O'G'LI")</f>
        <v>DUSHAMBOYEV JALIL G'ANIJON O'G'LI</v>
      </c>
      <c r="D53" s="35" t="str">
        <f ca="1">IFERROR(__xludf.DUMMYFUNCTION("""COMPUTED_VALUE"""),"Универсальный повар WOK")</f>
        <v>Универсальный повар WOK</v>
      </c>
    </row>
    <row r="54" spans="1:4" ht="18" customHeight="1" x14ac:dyDescent="0.25">
      <c r="A54" s="33" t="str">
        <f ca="1">IFERROR(__xludf.DUMMYFUNCTION("""COMPUTED_VALUE"""),"114. Юнусабад Gallery")</f>
        <v>114. Юнусабад Gallery</v>
      </c>
      <c r="B54" s="34">
        <f ca="1">IFERROR(__xludf.DUMMYFUNCTION("""COMPUTED_VALUE"""),37545)</f>
        <v>37545</v>
      </c>
      <c r="C54" s="35" t="str">
        <f ca="1">IFERROR(__xludf.DUMMYFUNCTION("""COMPUTED_VALUE"""),"ELNAZAROVA GULIDA BEKNAZAR QIZI")</f>
        <v>ELNAZAROVA GULIDA BEKNAZAR QIZI</v>
      </c>
      <c r="D54" s="35" t="str">
        <f ca="1">IFERROR(__xludf.DUMMYFUNCTION("""COMPUTED_VALUE"""),"Стажер первoй линии")</f>
        <v>Стажер первoй линии</v>
      </c>
    </row>
    <row r="55" spans="1:4" ht="18" customHeight="1" x14ac:dyDescent="0.25">
      <c r="A55" s="33" t="str">
        <f ca="1">IFERROR(__xludf.DUMMYFUNCTION("""COMPUTED_VALUE"""),"114. Юнусабад Gallery")</f>
        <v>114. Юнусабад Gallery</v>
      </c>
      <c r="B55" s="34">
        <f ca="1">IFERROR(__xludf.DUMMYFUNCTION("""COMPUTED_VALUE"""),39171)</f>
        <v>39171</v>
      </c>
      <c r="C55" s="35" t="str">
        <f ca="1">IFERROR(__xludf.DUMMYFUNCTION("""COMPUTED_VALUE"""),"KARIMOV XABIBULLOH XAYOTILLO O'G'LI")</f>
        <v>KARIMOV XABIBULLOH XAYOTILLO O'G'LI</v>
      </c>
      <c r="D55" s="35" t="str">
        <f ca="1">IFERROR(__xludf.DUMMYFUNCTION("""COMPUTED_VALUE"""),"Младший пиццерист")</f>
        <v>Младший пиццерист</v>
      </c>
    </row>
    <row r="56" spans="1:4" ht="18" customHeight="1" x14ac:dyDescent="0.25">
      <c r="A56" s="33" t="str">
        <f ca="1">IFERROR(__xludf.DUMMYFUNCTION("""COMPUTED_VALUE"""),"114. Юнусабад Gallery")</f>
        <v>114. Юнусабад Gallery</v>
      </c>
      <c r="B56" s="34">
        <f ca="1">IFERROR(__xludf.DUMMYFUNCTION("""COMPUTED_VALUE"""),39265)</f>
        <v>39265</v>
      </c>
      <c r="C56" s="35" t="str">
        <f ca="1">IFERROR(__xludf.DUMMYFUNCTION("""COMPUTED_VALUE"""),"AXMADALIYEV MUXAMMADALI MUROD O'G'LI")</f>
        <v>AXMADALIYEV MUXAMMADALI MUROD O'G'LI</v>
      </c>
      <c r="D56" s="35" t="str">
        <f ca="1">IFERROR(__xludf.DUMMYFUNCTION("""COMPUTED_VALUE"""),"Стажер повар WOK")</f>
        <v>Стажер повар WOK</v>
      </c>
    </row>
    <row r="57" spans="1:4" ht="18" customHeight="1" x14ac:dyDescent="0.25">
      <c r="A57" s="33" t="str">
        <f ca="1">IFERROR(__xludf.DUMMYFUNCTION("""COMPUTED_VALUE"""),"114. Юнусабад Gallery")</f>
        <v>114. Юнусабад Gallery</v>
      </c>
      <c r="B57" s="34">
        <f ca="1">IFERROR(__xludf.DUMMYFUNCTION("""COMPUTED_VALUE"""),39173)</f>
        <v>39173</v>
      </c>
      <c r="C57" s="35" t="str">
        <f ca="1">IFERROR(__xludf.DUMMYFUNCTION("""COMPUTED_VALUE"""),"ODILJONOV HUSANJON ULUG'BEK O'G'LI")</f>
        <v>ODILJONOV HUSANJON ULUG'BEK O'G'LI</v>
      </c>
      <c r="D57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58" spans="1:4" ht="18" customHeight="1" x14ac:dyDescent="0.25">
      <c r="A58" s="33" t="str">
        <f ca="1">IFERROR(__xludf.DUMMYFUNCTION("""COMPUTED_VALUE"""),"114. Юнусабад Gallery")</f>
        <v>114. Юнусабад Gallery</v>
      </c>
      <c r="B58" s="34">
        <f ca="1">IFERROR(__xludf.DUMMYFUNCTION("""COMPUTED_VALUE"""),39041)</f>
        <v>39041</v>
      </c>
      <c r="C58" s="35" t="str">
        <f ca="1">IFERROR(__xludf.DUMMYFUNCTION("""COMPUTED_VALUE"""),"QODIROV SANJARBEK DONIYORJON O'G'LI")</f>
        <v>QODIROV SANJARBEK DONIYORJON O'G'LI</v>
      </c>
      <c r="D58" s="35" t="str">
        <f ca="1">IFERROR(__xludf.DUMMYFUNCTION("""COMPUTED_VALUE"""),"Стажер повар WOK")</f>
        <v>Стажер повар WOK</v>
      </c>
    </row>
    <row r="59" spans="1:4" ht="18" customHeight="1" x14ac:dyDescent="0.25">
      <c r="A59" s="33" t="str">
        <f ca="1">IFERROR(__xludf.DUMMYFUNCTION("""COMPUTED_VALUE"""),"114. Юнусабад Gallery")</f>
        <v>114. Юнусабад Gallery</v>
      </c>
      <c r="B59" s="34">
        <f ca="1">IFERROR(__xludf.DUMMYFUNCTION("""COMPUTED_VALUE"""),38985)</f>
        <v>38985</v>
      </c>
      <c r="C59" s="35" t="str">
        <f ca="1">IFERROR(__xludf.DUMMYFUNCTION("""COMPUTED_VALUE"""),"XABIBULLAYEVA BARNO DILMUROD QIZI")</f>
        <v>XABIBULLAYEVA BARNO DILMUROD QIZI</v>
      </c>
      <c r="D59" s="35" t="str">
        <f ca="1">IFERROR(__xludf.DUMMYFUNCTION("""COMPUTED_VALUE"""),"Стажер первoй линии")</f>
        <v>Стажер первoй линии</v>
      </c>
    </row>
    <row r="60" spans="1:4" ht="18" customHeight="1" x14ac:dyDescent="0.25">
      <c r="A60" s="33" t="str">
        <f ca="1">IFERROR(__xludf.DUMMYFUNCTION("""COMPUTED_VALUE"""),"114. Юнусабад Gallery")</f>
        <v>114. Юнусабад Gallery</v>
      </c>
      <c r="B60" s="34">
        <f ca="1">IFERROR(__xludf.DUMMYFUNCTION("""COMPUTED_VALUE"""),39028)</f>
        <v>39028</v>
      </c>
      <c r="C60" s="35" t="str">
        <f ca="1">IFERROR(__xludf.DUMMYFUNCTION("""COMPUTED_VALUE"""),"XABIBULLAYEVA OZODA G'ULOMJON QIZI")</f>
        <v>XABIBULLAYEVA OZODA G'ULOMJON QIZI</v>
      </c>
      <c r="D60" s="35" t="str">
        <f ca="1">IFERROR(__xludf.DUMMYFUNCTION("""COMPUTED_VALUE"""),"Стажер кассир")</f>
        <v>Стажер кассир</v>
      </c>
    </row>
    <row r="61" spans="1:4" ht="18" customHeight="1" x14ac:dyDescent="0.25">
      <c r="A61" s="33" t="str">
        <f ca="1">IFERROR(__xludf.DUMMYFUNCTION("""COMPUTED_VALUE"""),"113. City mall")</f>
        <v>113. City mall</v>
      </c>
      <c r="B61" s="34">
        <f ca="1">IFERROR(__xludf.DUMMYFUNCTION("""COMPUTED_VALUE"""),37121)</f>
        <v>37121</v>
      </c>
      <c r="C61" s="35" t="str">
        <f ca="1">IFERROR(__xludf.DUMMYFUNCTION("""COMPUTED_VALUE"""),"ABDULLAYEV IZZATILLO RASHID O'G'LI")</f>
        <v>ABDULLAYEV IZZATILLO RASHID O'G'LI</v>
      </c>
      <c r="D61" s="35" t="str">
        <f ca="1">IFERROR(__xludf.DUMMYFUNCTION("""COMPUTED_VALUE"""),"Управляющий")</f>
        <v>Управляющий</v>
      </c>
    </row>
    <row r="62" spans="1:4" ht="18" customHeight="1" x14ac:dyDescent="0.25">
      <c r="A62" s="33" t="str">
        <f ca="1">IFERROR(__xludf.DUMMYFUNCTION("""COMPUTED_VALUE"""),"113. City mall")</f>
        <v>113. City mall</v>
      </c>
      <c r="B62" s="34">
        <f ca="1">IFERROR(__xludf.DUMMYFUNCTION("""COMPUTED_VALUE"""),34410)</f>
        <v>34410</v>
      </c>
      <c r="C62" s="35" t="str">
        <f ca="1">IFERROR(__xludf.DUMMYFUNCTION("""COMPUTED_VALUE"""),"SAFAYEV HASAN G'AYRAT O'G'LI")</f>
        <v>SAFAYEV HASAN G'AYRAT O'G'LI</v>
      </c>
      <c r="D62" s="35" t="str">
        <f ca="1">IFERROR(__xludf.DUMMYFUNCTION("""COMPUTED_VALUE"""),"Сменный менеджер")</f>
        <v>Сменный менеджер</v>
      </c>
    </row>
    <row r="63" spans="1:4" ht="18" customHeight="1" x14ac:dyDescent="0.25">
      <c r="A63" s="33" t="str">
        <f ca="1">IFERROR(__xludf.DUMMYFUNCTION("""COMPUTED_VALUE"""),"113. City mall")</f>
        <v>113. City mall</v>
      </c>
      <c r="B63" s="34">
        <f ca="1">IFERROR(__xludf.DUMMYFUNCTION("""COMPUTED_VALUE"""),37604)</f>
        <v>37604</v>
      </c>
      <c r="C63" s="35" t="str">
        <f ca="1">IFERROR(__xludf.DUMMYFUNCTION("""COMPUTED_VALUE"""),"KOMILOV MIRXOSIL UMIDJON O'G'LI")</f>
        <v>KOMILOV MIRXOSIL UMIDJON O'G'LI</v>
      </c>
      <c r="D63" s="35" t="str">
        <f ca="1">IFERROR(__xludf.DUMMYFUNCTION("""COMPUTED_VALUE"""),"Сменный менеджер")</f>
        <v>Сменный менеджер</v>
      </c>
    </row>
    <row r="64" spans="1:4" ht="18" customHeight="1" x14ac:dyDescent="0.25">
      <c r="A64" s="33" t="str">
        <f ca="1">IFERROR(__xludf.DUMMYFUNCTION("""COMPUTED_VALUE"""),"113. City mall")</f>
        <v>113. City mall</v>
      </c>
      <c r="B64" s="34">
        <f ca="1">IFERROR(__xludf.DUMMYFUNCTION("""COMPUTED_VALUE"""),37515)</f>
        <v>37515</v>
      </c>
      <c r="C64" s="35" t="str">
        <f ca="1">IFERROR(__xludf.DUMMYFUNCTION("""COMPUTED_VALUE"""),"TURSUNOV JASURBEK XUSAN O'G'LI")</f>
        <v>TURSUNOV JASURBEK XUSAN O'G'LI</v>
      </c>
      <c r="D64" s="35" t="str">
        <f ca="1">IFERROR(__xludf.DUMMYFUNCTION("""COMPUTED_VALUE"""),"Сменный менеджер")</f>
        <v>Сменный менеджер</v>
      </c>
    </row>
    <row r="65" spans="1:4" ht="18" customHeight="1" x14ac:dyDescent="0.25">
      <c r="A65" s="33" t="str">
        <f ca="1">IFERROR(__xludf.DUMMYFUNCTION("""COMPUTED_VALUE"""),"113. City mall")</f>
        <v>113. City mall</v>
      </c>
      <c r="B65" s="34">
        <f ca="1">IFERROR(__xludf.DUMMYFUNCTION("""COMPUTED_VALUE"""),38329)</f>
        <v>38329</v>
      </c>
      <c r="C65" s="35" t="str">
        <f ca="1">IFERROR(__xludf.DUMMYFUNCTION("""COMPUTED_VALUE"""),"XOLMATOV MUXAMMADALI MA'MURJON O'G'LI")</f>
        <v>XOLMATOV MUXAMMADALI MA'MURJON O'G'LI</v>
      </c>
      <c r="D65" s="35" t="str">
        <f ca="1">IFERROR(__xludf.DUMMYFUNCTION("""COMPUTED_VALUE"""),"Стажер сменный менеджер")</f>
        <v>Стажер сменный менеджер</v>
      </c>
    </row>
    <row r="66" spans="1:4" ht="18" customHeight="1" x14ac:dyDescent="0.25">
      <c r="A66" s="33" t="str">
        <f ca="1">IFERROR(__xludf.DUMMYFUNCTION("""COMPUTED_VALUE"""),"113. City mall")</f>
        <v>113. City mall</v>
      </c>
      <c r="B66" s="34">
        <f ca="1">IFERROR(__xludf.DUMMYFUNCTION("""COMPUTED_VALUE"""),36472)</f>
        <v>36472</v>
      </c>
      <c r="C66" s="35" t="str">
        <f ca="1">IFERROR(__xludf.DUMMYFUNCTION("""COMPUTED_VALUE"""),"TOSHMATOV SAIDASILXON SAIAKRAM O'G'LI")</f>
        <v>TOSHMATOV SAIDASILXON SAIAKRAM O'G'LI</v>
      </c>
      <c r="D66" s="35" t="str">
        <f ca="1">IFERROR(__xludf.DUMMYFUNCTION("""COMPUTED_VALUE"""),"Стажер сменный менеджер")</f>
        <v>Стажер сменный менеджер</v>
      </c>
    </row>
    <row r="67" spans="1:4" ht="18" customHeight="1" x14ac:dyDescent="0.25">
      <c r="A67" s="33" t="str">
        <f ca="1">IFERROR(__xludf.DUMMYFUNCTION("""COMPUTED_VALUE"""),"113. City mall")</f>
        <v>113. City mall</v>
      </c>
      <c r="B67" s="34">
        <f ca="1">IFERROR(__xludf.DUMMYFUNCTION("""COMPUTED_VALUE"""),34935)</f>
        <v>34935</v>
      </c>
      <c r="C67" s="35" t="str">
        <f ca="1">IFERROR(__xludf.DUMMYFUNCTION("""COMPUTED_VALUE"""),"ODILJONOV SUNATILLA AKMAL O'G'LI")</f>
        <v>ODILJONOV SUNATILLA AKMAL O'G'LI</v>
      </c>
      <c r="D67" s="35" t="str">
        <f ca="1">IFERROR(__xludf.DUMMYFUNCTION("""COMPUTED_VALUE"""),"Лидер производства WOK")</f>
        <v>Лидер производства WOK</v>
      </c>
    </row>
    <row r="68" spans="1:4" ht="18" customHeight="1" x14ac:dyDescent="0.25">
      <c r="A68" s="33" t="str">
        <f ca="1">IFERROR(__xludf.DUMMYFUNCTION("""COMPUTED_VALUE"""),"113. City mall")</f>
        <v>113. City mall</v>
      </c>
      <c r="B68" s="34">
        <f ca="1">IFERROR(__xludf.DUMMYFUNCTION("""COMPUTED_VALUE"""),29684)</f>
        <v>29684</v>
      </c>
      <c r="C68" s="35" t="str">
        <f ca="1">IFERROR(__xludf.DUMMYFUNCTION("""COMPUTED_VALUE"""),"XUSANOV FAXRIDDIN ABDUXOLIKOVICH")</f>
        <v>XUSANOV FAXRIDDIN ABDUXOLIKOVICH</v>
      </c>
      <c r="D68" s="35" t="str">
        <f ca="1">IFERROR(__xludf.DUMMYFUNCTION("""COMPUTED_VALUE"""),"Лидер производства WOK")</f>
        <v>Лидер производства WOK</v>
      </c>
    </row>
    <row r="69" spans="1:4" ht="18" customHeight="1" x14ac:dyDescent="0.25">
      <c r="A69" s="33" t="str">
        <f ca="1">IFERROR(__xludf.DUMMYFUNCTION("""COMPUTED_VALUE"""),"113. City mall")</f>
        <v>113. City mall</v>
      </c>
      <c r="B69" s="34">
        <f ca="1">IFERROR(__xludf.DUMMYFUNCTION("""COMPUTED_VALUE"""),38614)</f>
        <v>38614</v>
      </c>
      <c r="C69" s="35" t="str">
        <f ca="1">IFERROR(__xludf.DUMMYFUNCTION("""COMPUTED_VALUE"""),"YASHIBOYEV SHOXRUX TOSHMAMAT O'G'LI")</f>
        <v>YASHIBOYEV SHOXRUX TOSHMAMAT O'G'LI</v>
      </c>
      <c r="D69" s="35" t="str">
        <f ca="1">IFERROR(__xludf.DUMMYFUNCTION("""COMPUTED_VALUE"""),"Лидер производства WOK")</f>
        <v>Лидер производства WOK</v>
      </c>
    </row>
    <row r="70" spans="1:4" ht="18" customHeight="1" x14ac:dyDescent="0.25">
      <c r="A70" s="33" t="str">
        <f ca="1">IFERROR(__xludf.DUMMYFUNCTION("""COMPUTED_VALUE"""),"113. City mall")</f>
        <v>113. City mall</v>
      </c>
      <c r="B70" s="34">
        <f ca="1">IFERROR(__xludf.DUMMYFUNCTION("""COMPUTED_VALUE"""),38867)</f>
        <v>38867</v>
      </c>
      <c r="C70" s="35" t="str">
        <f ca="1">IFERROR(__xludf.DUMMYFUNCTION("""COMPUTED_VALUE"""),"ABDURAHIMOV BAHRUZBEK MASHHURBEK O'G'LI")</f>
        <v>ABDURAHIMOV BAHRUZBEK MASHHURBEK O'G'LI</v>
      </c>
      <c r="D70" s="35" t="str">
        <f ca="1">IFERROR(__xludf.DUMMYFUNCTION("""COMPUTED_VALUE"""),"Лидер производствa Street")</f>
        <v>Лидер производствa Street</v>
      </c>
    </row>
    <row r="71" spans="1:4" ht="18" customHeight="1" x14ac:dyDescent="0.25">
      <c r="A71" s="33" t="str">
        <f ca="1">IFERROR(__xludf.DUMMYFUNCTION("""COMPUTED_VALUE"""),"113. City mall")</f>
        <v>113. City mall</v>
      </c>
      <c r="B71" s="34">
        <f ca="1">IFERROR(__xludf.DUMMYFUNCTION("""COMPUTED_VALUE"""),37979)</f>
        <v>37979</v>
      </c>
      <c r="C71" s="35" t="str">
        <f ca="1">IFERROR(__xludf.DUMMYFUNCTION("""COMPUTED_VALUE"""),"JUMABOYEV ABROR IBROXIM O'G'LI")</f>
        <v>JUMABOYEV ABROR IBROXIM O'G'LI</v>
      </c>
      <c r="D71" s="35" t="str">
        <f ca="1">IFERROR(__xludf.DUMMYFUNCTION("""COMPUTED_VALUE"""),"Универсальный повар Street")</f>
        <v>Универсальный повар Street</v>
      </c>
    </row>
    <row r="72" spans="1:4" ht="18" customHeight="1" x14ac:dyDescent="0.25">
      <c r="A72" s="33" t="str">
        <f ca="1">IFERROR(__xludf.DUMMYFUNCTION("""COMPUTED_VALUE"""),"113. City mall")</f>
        <v>113. City mall</v>
      </c>
      <c r="B72" s="34">
        <f ca="1">IFERROR(__xludf.DUMMYFUNCTION("""COMPUTED_VALUE"""),38772)</f>
        <v>38772</v>
      </c>
      <c r="C72" s="35" t="str">
        <f ca="1">IFERROR(__xludf.DUMMYFUNCTION("""COMPUTED_VALUE"""),"ABDIYEVA NILUFAR AKMALOVNA")</f>
        <v>ABDIYEVA NILUFAR AKMALOVNA</v>
      </c>
      <c r="D72" s="35" t="str">
        <f ca="1">IFERROR(__xludf.DUMMYFUNCTION("""COMPUTED_VALUE"""),"Универсальный сотрудник Front line")</f>
        <v>Универсальный сотрудник Front line</v>
      </c>
    </row>
    <row r="73" spans="1:4" ht="18" customHeight="1" x14ac:dyDescent="0.25">
      <c r="A73" s="33" t="str">
        <f ca="1">IFERROR(__xludf.DUMMYFUNCTION("""COMPUTED_VALUE"""),"113. City mall")</f>
        <v>113. City mall</v>
      </c>
      <c r="B73" s="34">
        <f ca="1">IFERROR(__xludf.DUMMYFUNCTION("""COMPUTED_VALUE"""),37862)</f>
        <v>37862</v>
      </c>
      <c r="C73" s="35" t="str">
        <f ca="1">IFERROR(__xludf.DUMMYFUNCTION("""COMPUTED_VALUE"""),"SOTVOLDIYEV OLLOYORBEK LUTFILLO O'G'LI")</f>
        <v>SOTVOLDIYEV OLLOYORBEK LUTFILLO O'G'LI</v>
      </c>
      <c r="D73" s="35" t="str">
        <f ca="1">IFERROR(__xludf.DUMMYFUNCTION("""COMPUTED_VALUE"""),"Универсальный сотрудник Front line")</f>
        <v>Универсальный сотрудник Front line</v>
      </c>
    </row>
    <row r="74" spans="1:4" ht="18" customHeight="1" x14ac:dyDescent="0.25">
      <c r="A74" s="33" t="str">
        <f ca="1">IFERROR(__xludf.DUMMYFUNCTION("""COMPUTED_VALUE"""),"113. City mall")</f>
        <v>113. City mall</v>
      </c>
      <c r="B74" s="34">
        <f ca="1">IFERROR(__xludf.DUMMYFUNCTION("""COMPUTED_VALUE"""),38984)</f>
        <v>38984</v>
      </c>
      <c r="C74" s="35" t="str">
        <f ca="1">IFERROR(__xludf.DUMMYFUNCTION("""COMPUTED_VALUE"""),"MIRZABAEVA HURZIYA BARLIQBAY QIZI")</f>
        <v>MIRZABAEVA HURZIYA BARLIQBAY QIZI</v>
      </c>
      <c r="D74" s="35" t="str">
        <f ca="1">IFERROR(__xludf.DUMMYFUNCTION("""COMPUTED_VALUE"""),"Универсальный сотрудник Front line")</f>
        <v>Универсальный сотрудник Front line</v>
      </c>
    </row>
    <row r="75" spans="1:4" ht="18" customHeight="1" x14ac:dyDescent="0.25">
      <c r="A75" s="33" t="str">
        <f ca="1">IFERROR(__xludf.DUMMYFUNCTION("""COMPUTED_VALUE"""),"113. City mall")</f>
        <v>113. City mall</v>
      </c>
      <c r="B75" s="34">
        <f ca="1">IFERROR(__xludf.DUMMYFUNCTION("""COMPUTED_VALUE"""),36942)</f>
        <v>36942</v>
      </c>
      <c r="C75" s="35" t="str">
        <f ca="1">IFERROR(__xludf.DUMMYFUNCTION("""COMPUTED_VALUE"""),"ESHMATOVA MAFTUNA URAL QIZI")</f>
        <v>ESHMATOVA MAFTUNA URAL QIZI</v>
      </c>
      <c r="D75" s="35" t="str">
        <f ca="1">IFERROR(__xludf.DUMMYFUNCTION("""COMPUTED_VALUE"""),"Универсальный сотрудник Front line")</f>
        <v>Универсальный сотрудник Front line</v>
      </c>
    </row>
    <row r="76" spans="1:4" ht="18" customHeight="1" x14ac:dyDescent="0.25">
      <c r="A76" s="33" t="str">
        <f ca="1">IFERROR(__xludf.DUMMYFUNCTION("""COMPUTED_VALUE"""),"113. City mall")</f>
        <v>113. City mall</v>
      </c>
      <c r="B76" s="34">
        <f ca="1">IFERROR(__xludf.DUMMYFUNCTION("""COMPUTED_VALUE"""),38285)</f>
        <v>38285</v>
      </c>
      <c r="C76" s="35" t="str">
        <f ca="1">IFERROR(__xludf.DUMMYFUNCTION("""COMPUTED_VALUE"""),"XALMURATOVA AZODA SULTAMURATOVNA")</f>
        <v>XALMURATOVA AZODA SULTAMURATOVNA</v>
      </c>
      <c r="D76" s="35" t="str">
        <f ca="1">IFERROR(__xludf.DUMMYFUNCTION("""COMPUTED_VALUE"""),"Универсальный повар Street")</f>
        <v>Универсальный повар Street</v>
      </c>
    </row>
    <row r="77" spans="1:4" ht="18" customHeight="1" x14ac:dyDescent="0.25">
      <c r="A77" s="33" t="str">
        <f ca="1">IFERROR(__xludf.DUMMYFUNCTION("""COMPUTED_VALUE"""),"113. City mall")</f>
        <v>113. City mall</v>
      </c>
      <c r="B77" s="34">
        <f ca="1">IFERROR(__xludf.DUMMYFUNCTION("""COMPUTED_VALUE"""),37954)</f>
        <v>37954</v>
      </c>
      <c r="C77" s="35" t="str">
        <f ca="1">IFERROR(__xludf.DUMMYFUNCTION("""COMPUTED_VALUE"""),"YERMATOV SHOXRUX AZIZ O'G'LI")</f>
        <v>YERMATOV SHOXRUX AZIZ O'G'LI</v>
      </c>
      <c r="D77" s="35" t="str">
        <f ca="1">IFERROR(__xludf.DUMMYFUNCTION("""COMPUTED_VALUE"""),"Универсальный повар WOK")</f>
        <v>Универсальный повар WOK</v>
      </c>
    </row>
    <row r="78" spans="1:4" ht="18" customHeight="1" x14ac:dyDescent="0.25">
      <c r="A78" s="33" t="str">
        <f ca="1">IFERROR(__xludf.DUMMYFUNCTION("""COMPUTED_VALUE"""),"113. City mall")</f>
        <v>113. City mall</v>
      </c>
      <c r="B78" s="34">
        <f ca="1">IFERROR(__xludf.DUMMYFUNCTION("""COMPUTED_VALUE"""),38721)</f>
        <v>38721</v>
      </c>
      <c r="C78" s="35" t="str">
        <f ca="1">IFERROR(__xludf.DUMMYFUNCTION("""COMPUTED_VALUE"""),"SROJIDDINOVA RAYXONA ODILJON QIZI")</f>
        <v>SROJIDDINOVA RAYXONA ODILJON QIZI</v>
      </c>
      <c r="D78" s="35" t="str">
        <f ca="1">IFERROR(__xludf.DUMMYFUNCTION("""COMPUTED_VALUE"""),"Универсальный повар WOK")</f>
        <v>Универсальный повар WOK</v>
      </c>
    </row>
    <row r="79" spans="1:4" ht="18" customHeight="1" x14ac:dyDescent="0.25">
      <c r="A79" s="33" t="str">
        <f ca="1">IFERROR(__xludf.DUMMYFUNCTION("""COMPUTED_VALUE"""),"113. City mall")</f>
        <v>113. City mall</v>
      </c>
      <c r="B79" s="34">
        <f ca="1">IFERROR(__xludf.DUMMYFUNCTION("""COMPUTED_VALUE"""),38608)</f>
        <v>38608</v>
      </c>
      <c r="C79" s="35" t="str">
        <f ca="1">IFERROR(__xludf.DUMMYFUNCTION("""COMPUTED_VALUE"""),"JABBOROVA SHAHRIZODA OLIMJON QIZI")</f>
        <v>JABBOROVA SHAHRIZODA OLIMJON QIZI</v>
      </c>
      <c r="D79" s="35" t="str">
        <f ca="1">IFERROR(__xludf.DUMMYFUNCTION("""COMPUTED_VALUE"""),"Универсальный сотрудник Front line")</f>
        <v>Универсальный сотрудник Front line</v>
      </c>
    </row>
    <row r="80" spans="1:4" ht="18" customHeight="1" x14ac:dyDescent="0.25">
      <c r="A80" s="33" t="str">
        <f ca="1">IFERROR(__xludf.DUMMYFUNCTION("""COMPUTED_VALUE"""),"113. City mall")</f>
        <v>113. City mall</v>
      </c>
      <c r="B80" s="34">
        <f ca="1">IFERROR(__xludf.DUMMYFUNCTION("""COMPUTED_VALUE"""),34392)</f>
        <v>34392</v>
      </c>
      <c r="C80" s="35" t="str">
        <f ca="1">IFERROR(__xludf.DUMMYFUNCTION("""COMPUTED_VALUE"""),"ZOYIROVA XADICHA ZOYIROVNA")</f>
        <v>ZOYIROVA XADICHA ZOYIROVNA</v>
      </c>
      <c r="D80" s="35" t="str">
        <f ca="1">IFERROR(__xludf.DUMMYFUNCTION("""COMPUTED_VALUE"""),"Старший рабочий кухни (Техничка, мойка)")</f>
        <v>Старший рабочий кухни (Техничка, мойка)</v>
      </c>
    </row>
    <row r="81" spans="1:4" ht="18" customHeight="1" x14ac:dyDescent="0.25">
      <c r="A81" s="33" t="str">
        <f ca="1">IFERROR(__xludf.DUMMYFUNCTION("""COMPUTED_VALUE"""),"113. City mall")</f>
        <v>113. City mall</v>
      </c>
      <c r="B81" s="34">
        <f ca="1">IFERROR(__xludf.DUMMYFUNCTION("""COMPUTED_VALUE"""),38173)</f>
        <v>38173</v>
      </c>
      <c r="C81" s="35" t="str">
        <f ca="1">IFERROR(__xludf.DUMMYFUNCTION("""COMPUTED_VALUE"""),"QURBONOVA SABINA DURUMBOY QIZI")</f>
        <v>QURBONOVA SABINA DURUMBOY QIZI</v>
      </c>
      <c r="D81" s="35" t="str">
        <f ca="1">IFERROR(__xludf.DUMMYFUNCTION("""COMPUTED_VALUE"""),"Универсальный сотрудник Front line")</f>
        <v>Универсальный сотрудник Front line</v>
      </c>
    </row>
    <row r="82" spans="1:4" ht="18" customHeight="1" x14ac:dyDescent="0.25">
      <c r="A82" s="33" t="str">
        <f ca="1">IFERROR(__xludf.DUMMYFUNCTION("""COMPUTED_VALUE"""),"113. City mall")</f>
        <v>113. City mall</v>
      </c>
      <c r="B82" s="34">
        <f ca="1">IFERROR(__xludf.DUMMYFUNCTION("""COMPUTED_VALUE"""),32340)</f>
        <v>32340</v>
      </c>
      <c r="C82" s="35" t="str">
        <f ca="1">IFERROR(__xludf.DUMMYFUNCTION("""COMPUTED_VALUE"""),"BABAYEVA UMISH DJALALOVNA")</f>
        <v>BABAYEVA UMISH DJALALOVNA</v>
      </c>
      <c r="D82" s="35" t="str">
        <f ca="1">IFERROR(__xludf.DUMMYFUNCTION("""COMPUTED_VALUE"""),"Универсальный повар Street")</f>
        <v>Универсальный повар Street</v>
      </c>
    </row>
    <row r="83" spans="1:4" ht="18" customHeight="1" x14ac:dyDescent="0.25">
      <c r="A83" s="33" t="str">
        <f ca="1">IFERROR(__xludf.DUMMYFUNCTION("""COMPUTED_VALUE"""),"113. City mall")</f>
        <v>113. City mall</v>
      </c>
      <c r="B83" s="34">
        <f ca="1">IFERROR(__xludf.DUMMYFUNCTION("""COMPUTED_VALUE"""),38029)</f>
        <v>38029</v>
      </c>
      <c r="C83" s="35" t="str">
        <f ca="1">IFERROR(__xludf.DUMMYFUNCTION("""COMPUTED_VALUE"""),"YUSUFJONOV SAMANDAR OYBEK O'G'LI")</f>
        <v>YUSUFJONOV SAMANDAR OYBEK O'G'LI</v>
      </c>
      <c r="D83" s="35" t="str">
        <f ca="1">IFERROR(__xludf.DUMMYFUNCTION("""COMPUTED_VALUE"""),"Пиццерист")</f>
        <v>Пиццерист</v>
      </c>
    </row>
    <row r="84" spans="1:4" ht="18" customHeight="1" x14ac:dyDescent="0.25">
      <c r="A84" s="33" t="str">
        <f ca="1">IFERROR(__xludf.DUMMYFUNCTION("""COMPUTED_VALUE"""),"113. City mall")</f>
        <v>113. City mall</v>
      </c>
      <c r="B84" s="34">
        <f ca="1">IFERROR(__xludf.DUMMYFUNCTION("""COMPUTED_VALUE"""),39226)</f>
        <v>39226</v>
      </c>
      <c r="C84" s="35" t="str">
        <f ca="1">IFERROR(__xludf.DUMMYFUNCTION("""COMPUTED_VALUE"""),"DAGAROV ASILBEK JO'RABEK O'G'LI")</f>
        <v>DAGAROV ASILBEK JO'RABEK O'G'LI</v>
      </c>
      <c r="D84" s="35" t="str">
        <f ca="1">IFERROR(__xludf.DUMMYFUNCTION("""COMPUTED_VALUE"""),"Пиццерист")</f>
        <v>Пиццерист</v>
      </c>
    </row>
    <row r="85" spans="1:4" ht="18" customHeight="1" x14ac:dyDescent="0.25">
      <c r="A85" s="33" t="str">
        <f ca="1">IFERROR(__xludf.DUMMYFUNCTION("""COMPUTED_VALUE"""),"113. City mall")</f>
        <v>113. City mall</v>
      </c>
      <c r="B85" s="34">
        <f ca="1">IFERROR(__xludf.DUMMYFUNCTION("""COMPUTED_VALUE"""),39248)</f>
        <v>39248</v>
      </c>
      <c r="C85" s="35" t="str">
        <f ca="1">IFERROR(__xludf.DUMMYFUNCTION("""COMPUTED_VALUE"""),"KOMILJONOV DADAJON JASURJON O'G'LI")</f>
        <v>KOMILJONOV DADAJON JASURJON O'G'LI</v>
      </c>
      <c r="D85" s="35" t="str">
        <f ca="1">IFERROR(__xludf.DUMMYFUNCTION("""COMPUTED_VALUE"""),"Универсальный повар Street")</f>
        <v>Универсальный повар Street</v>
      </c>
    </row>
    <row r="86" spans="1:4" ht="18" customHeight="1" x14ac:dyDescent="0.25">
      <c r="A86" s="33" t="str">
        <f ca="1">IFERROR(__xludf.DUMMYFUNCTION("""COMPUTED_VALUE"""),"113. City mall")</f>
        <v>113. City mall</v>
      </c>
      <c r="B86" s="34">
        <f ca="1">IFERROR(__xludf.DUMMYFUNCTION("""COMPUTED_VALUE"""),38205)</f>
        <v>38205</v>
      </c>
      <c r="C86" s="35" t="str">
        <f ca="1">IFERROR(__xludf.DUMMYFUNCTION("""COMPUTED_VALUE"""),"TURSUNOV MUXAMMADALI SHUXRAT O'G'LI")</f>
        <v>TURSUNOV MUXAMMADALI SHUXRAT O'G'LI</v>
      </c>
      <c r="D86" s="35" t="str">
        <f ca="1">IFERROR(__xludf.DUMMYFUNCTION("""COMPUTED_VALUE"""),"Универсальный повар WOK")</f>
        <v>Универсальный повар WOK</v>
      </c>
    </row>
    <row r="87" spans="1:4" ht="18" customHeight="1" x14ac:dyDescent="0.25">
      <c r="A87" s="33" t="str">
        <f ca="1">IFERROR(__xludf.DUMMYFUNCTION("""COMPUTED_VALUE"""),"113. City mall")</f>
        <v>113. City mall</v>
      </c>
      <c r="B87" s="34">
        <f ca="1">IFERROR(__xludf.DUMMYFUNCTION("""COMPUTED_VALUE"""),37871)</f>
        <v>37871</v>
      </c>
      <c r="C87" s="35" t="str">
        <f ca="1">IFERROR(__xludf.DUMMYFUNCTION("""COMPUTED_VALUE"""),"ESHMAMATOVA DILDORA BOBOMURODOVNA")</f>
        <v>ESHMAMATOVA DILDORA BOBOMURODOVNA</v>
      </c>
      <c r="D87" s="35" t="str">
        <f ca="1">IFERROR(__xludf.DUMMYFUNCTION("""COMPUTED_VALUE"""),"Универсальный повар Street")</f>
        <v>Универсальный повар Street</v>
      </c>
    </row>
    <row r="88" spans="1:4" ht="18" customHeight="1" x14ac:dyDescent="0.25">
      <c r="A88" s="33" t="str">
        <f ca="1">IFERROR(__xludf.DUMMYFUNCTION("""COMPUTED_VALUE"""),"113. City mall")</f>
        <v>113. City mall</v>
      </c>
      <c r="B88" s="34">
        <f ca="1">IFERROR(__xludf.DUMMYFUNCTION("""COMPUTED_VALUE"""),32780)</f>
        <v>32780</v>
      </c>
      <c r="C88" s="35" t="str">
        <f ca="1">IFERROR(__xludf.DUMMYFUNCTION("""COMPUTED_VALUE"""),"MUZAFAROVA XILOLA MANSUROVNA")</f>
        <v>MUZAFAROVA XILOLA MANSUROVNA</v>
      </c>
      <c r="D88" s="35" t="str">
        <f ca="1">IFERROR(__xludf.DUMMYFUNCTION("""COMPUTED_VALUE"""),"Универсальный повар Street")</f>
        <v>Универсальный повар Street</v>
      </c>
    </row>
    <row r="89" spans="1:4" ht="18" customHeight="1" x14ac:dyDescent="0.25">
      <c r="A89" s="33" t="str">
        <f ca="1">IFERROR(__xludf.DUMMYFUNCTION("""COMPUTED_VALUE"""),"113. City mall")</f>
        <v>113. City mall</v>
      </c>
      <c r="B89" s="34">
        <f ca="1">IFERROR(__xludf.DUMMYFUNCTION("""COMPUTED_VALUE"""),39143)</f>
        <v>39143</v>
      </c>
      <c r="C89" s="35" t="str">
        <f ca="1">IFERROR(__xludf.DUMMYFUNCTION("""COMPUTED_VALUE"""),"QARSHIYEVA NULIFAR SOBIR QIZI")</f>
        <v>QARSHIYEVA NULIFAR SOBIR QIZI</v>
      </c>
      <c r="D89" s="35" t="str">
        <f ca="1">IFERROR(__xludf.DUMMYFUNCTION("""COMPUTED_VALUE"""),"Универсальный повар Street")</f>
        <v>Универсальный повар Street</v>
      </c>
    </row>
    <row r="90" spans="1:4" ht="18" customHeight="1" x14ac:dyDescent="0.25">
      <c r="A90" s="33" t="str">
        <f ca="1">IFERROR(__xludf.DUMMYFUNCTION("""COMPUTED_VALUE"""),"113. City mall")</f>
        <v>113. City mall</v>
      </c>
      <c r="B90" s="34">
        <f ca="1">IFERROR(__xludf.DUMMYFUNCTION("""COMPUTED_VALUE"""),38348)</f>
        <v>38348</v>
      </c>
      <c r="C90" s="35" t="str">
        <f ca="1">IFERROR(__xludf.DUMMYFUNCTION("""COMPUTED_VALUE"""),"DUSMURADOV QUVONCHBEK BOBOMUROD O'G'LI")</f>
        <v>DUSMURADOV QUVONCHBEK BOBOMUROD O'G'LI</v>
      </c>
      <c r="D90" s="35" t="str">
        <f ca="1">IFERROR(__xludf.DUMMYFUNCTION("""COMPUTED_VALUE"""),"Старший повар Wok")</f>
        <v>Старший повар Wok</v>
      </c>
    </row>
    <row r="91" spans="1:4" ht="18" customHeight="1" x14ac:dyDescent="0.25">
      <c r="A91" s="33" t="str">
        <f ca="1">IFERROR(__xludf.DUMMYFUNCTION("""COMPUTED_VALUE"""),"113. City mall")</f>
        <v>113. City mall</v>
      </c>
      <c r="B91" s="34">
        <f ca="1">IFERROR(__xludf.DUMMYFUNCTION("""COMPUTED_VALUE"""),39297)</f>
        <v>39297</v>
      </c>
      <c r="C91" s="35" t="str">
        <f ca="1">IFERROR(__xludf.DUMMYFUNCTION("""COMPUTED_VALUE"""),"ASQARALIYEV JASURBEK SULTONMUROD O'G'LI")</f>
        <v>ASQARALIYEV JASURBEK SULTONMUROD O'G'LI</v>
      </c>
      <c r="D91" s="35" t="str">
        <f ca="1">IFERROR(__xludf.DUMMYFUNCTION("""COMPUTED_VALUE"""),"Старший повар Wok")</f>
        <v>Старший повар Wok</v>
      </c>
    </row>
    <row r="92" spans="1:4" ht="18" customHeight="1" x14ac:dyDescent="0.25">
      <c r="A92" s="33" t="str">
        <f ca="1">IFERROR(__xludf.DUMMYFUNCTION("""COMPUTED_VALUE"""),"113. City mall")</f>
        <v>113. City mall</v>
      </c>
      <c r="B92" s="34">
        <f ca="1">IFERROR(__xludf.DUMMYFUNCTION("""COMPUTED_VALUE"""),38871)</f>
        <v>38871</v>
      </c>
      <c r="C92" s="35" t="str">
        <f ca="1">IFERROR(__xludf.DUMMYFUNCTION("""COMPUTED_VALUE"""),"ERGASHBOYEVA FOTIMA RO'ZIBOY QIZI")</f>
        <v>ERGASHBOYEVA FOTIMA RO'ZIBOY QIZI</v>
      </c>
      <c r="D92" s="35" t="str">
        <f ca="1">IFERROR(__xludf.DUMMYFUNCTION("""COMPUTED_VALUE"""),"Универсальный сотрудник Front line")</f>
        <v>Универсальный сотрудник Front line</v>
      </c>
    </row>
    <row r="93" spans="1:4" ht="18" customHeight="1" x14ac:dyDescent="0.25">
      <c r="A93" s="33" t="str">
        <f ca="1">IFERROR(__xludf.DUMMYFUNCTION("""COMPUTED_VALUE"""),"113. City mall")</f>
        <v>113. City mall</v>
      </c>
      <c r="B93" s="34">
        <f ca="1">IFERROR(__xludf.DUMMYFUNCTION("""COMPUTED_VALUE"""),37039)</f>
        <v>37039</v>
      </c>
      <c r="C93" s="35" t="str">
        <f ca="1">IFERROR(__xludf.DUMMYFUNCTION("""COMPUTED_VALUE"""),"JUMABOYEV JAMSHID NAZARBEK O'G'LI")</f>
        <v>JUMABOYEV JAMSHID NAZARBEK O'G'LI</v>
      </c>
      <c r="D93" s="35" t="str">
        <f ca="1">IFERROR(__xludf.DUMMYFUNCTION("""COMPUTED_VALUE"""),"Лидер производствa pizza")</f>
        <v>Лидер производствa pizza</v>
      </c>
    </row>
    <row r="94" spans="1:4" ht="18" customHeight="1" x14ac:dyDescent="0.25">
      <c r="A94" s="33" t="str">
        <f ca="1">IFERROR(__xludf.DUMMYFUNCTION("""COMPUTED_VALUE"""),"113. City mall")</f>
        <v>113. City mall</v>
      </c>
      <c r="B94" s="34">
        <f ca="1">IFERROR(__xludf.DUMMYFUNCTION("""COMPUTED_VALUE"""),38808)</f>
        <v>38808</v>
      </c>
      <c r="C94" s="35" t="str">
        <f ca="1">IFERROR(__xludf.DUMMYFUNCTION("""COMPUTED_VALUE"""),"ELBOYEV ORZUBEK UMIDJON O'G'LI")</f>
        <v>ELBOYEV ORZUBEK UMIDJON O'G'LI</v>
      </c>
      <c r="D94" s="35" t="str">
        <f ca="1">IFERROR(__xludf.DUMMYFUNCTION("""COMPUTED_VALUE"""),"Младший пиццерист")</f>
        <v>Младший пиццерист</v>
      </c>
    </row>
    <row r="95" spans="1:4" ht="18" customHeight="1" x14ac:dyDescent="0.25">
      <c r="A95" s="33" t="str">
        <f ca="1">IFERROR(__xludf.DUMMYFUNCTION("""COMPUTED_VALUE"""),"113. City mall")</f>
        <v>113. City mall</v>
      </c>
      <c r="B95" s="34">
        <f ca="1">IFERROR(__xludf.DUMMYFUNCTION("""COMPUTED_VALUE"""),39418)</f>
        <v>39418</v>
      </c>
      <c r="C95" s="35" t="str">
        <f ca="1">IFERROR(__xludf.DUMMYFUNCTION("""COMPUTED_VALUE"""),"USMANOVA MASTURA ISLOMJON QIZI")</f>
        <v>USMANOVA MASTURA ISLOMJON QIZI</v>
      </c>
      <c r="D95" s="35" t="str">
        <f ca="1">IFERROR(__xludf.DUMMYFUNCTION("""COMPUTED_VALUE"""),"Кассир")</f>
        <v>Кассир</v>
      </c>
    </row>
    <row r="96" spans="1:4" ht="18" customHeight="1" x14ac:dyDescent="0.25">
      <c r="A96" s="33" t="str">
        <f ca="1">IFERROR(__xludf.DUMMYFUNCTION("""COMPUTED_VALUE"""),"113. City mall")</f>
        <v>113. City mall</v>
      </c>
      <c r="B96" s="34">
        <f ca="1">IFERROR(__xludf.DUMMYFUNCTION("""COMPUTED_VALUE"""),38328)</f>
        <v>38328</v>
      </c>
      <c r="C96" s="35" t="str">
        <f ca="1">IFERROR(__xludf.DUMMYFUNCTION("""COMPUTED_VALUE"""),"XUDOYBERDIYEV SHOHJAHON ZOXIRJON O'G'LI")</f>
        <v>XUDOYBERDIYEV SHOHJAHON ZOXIRJON O'G'LI</v>
      </c>
      <c r="D96" s="35" t="str">
        <f ca="1">IFERROR(__xludf.DUMMYFUNCTION("""COMPUTED_VALUE"""),"Повар WOK")</f>
        <v>Повар WOK</v>
      </c>
    </row>
    <row r="97" spans="1:4" ht="18" customHeight="1" x14ac:dyDescent="0.25">
      <c r="A97" s="33" t="str">
        <f ca="1">IFERROR(__xludf.DUMMYFUNCTION("""COMPUTED_VALUE"""),"113. City mall")</f>
        <v>113. City mall</v>
      </c>
      <c r="B97" s="34">
        <f ca="1">IFERROR(__xludf.DUMMYFUNCTION("""COMPUTED_VALUE"""),33165)</f>
        <v>33165</v>
      </c>
      <c r="C97" s="35" t="str">
        <f ca="1">IFERROR(__xludf.DUMMYFUNCTION("""COMPUTED_VALUE"""),"BOYTMATMATOV OLIMJON IMOMNAZAR O'G'LI")</f>
        <v>BOYTMATMATOV OLIMJON IMOMNAZAR O'G'LI</v>
      </c>
      <c r="D97" s="35" t="str">
        <f ca="1">IFERROR(__xludf.DUMMYFUNCTION("""COMPUTED_VALUE"""),"Пиццерист")</f>
        <v>Пиццерист</v>
      </c>
    </row>
    <row r="98" spans="1:4" ht="18" customHeight="1" x14ac:dyDescent="0.25">
      <c r="A98" s="33" t="str">
        <f ca="1">IFERROR(__xludf.DUMMYFUNCTION("""COMPUTED_VALUE"""),"113. City mall")</f>
        <v>113. City mall</v>
      </c>
      <c r="B98" s="34">
        <f ca="1">IFERROR(__xludf.DUMMYFUNCTION("""COMPUTED_VALUE"""),39396)</f>
        <v>39396</v>
      </c>
      <c r="C98" s="35" t="str">
        <f ca="1">IFERROR(__xludf.DUMMYFUNCTION("""COMPUTED_VALUE"""),"ABDURAHMONOV DURBEK DILSHOD O'G'LI")</f>
        <v>ABDURAHMONOV DURBEK DILSHOD O'G'LI</v>
      </c>
      <c r="D98" s="35" t="str">
        <f ca="1">IFERROR(__xludf.DUMMYFUNCTION("""COMPUTED_VALUE"""),"Сотрудник первой линии")</f>
        <v>Сотрудник первой линии</v>
      </c>
    </row>
    <row r="99" spans="1:4" ht="18" customHeight="1" x14ac:dyDescent="0.25">
      <c r="A99" s="33" t="str">
        <f ca="1">IFERROR(__xludf.DUMMYFUNCTION("""COMPUTED_VALUE"""),"113. City mall")</f>
        <v>113. City mall</v>
      </c>
      <c r="B99" s="34">
        <f ca="1">IFERROR(__xludf.DUMMYFUNCTION("""COMPUTED_VALUE"""),39299)</f>
        <v>39299</v>
      </c>
      <c r="C99" s="35" t="str">
        <f ca="1">IFERROR(__xludf.DUMMYFUNCTION("""COMPUTED_VALUE"""),"SULTONOV SAMANDAR NURIDDIN O'G'LI")</f>
        <v>SULTONOV SAMANDAR NURIDDIN O'G'LI</v>
      </c>
      <c r="D99" s="35" t="str">
        <f ca="1">IFERROR(__xludf.DUMMYFUNCTION("""COMPUTED_VALUE"""),"Младший пиццерист")</f>
        <v>Младший пиццерист</v>
      </c>
    </row>
    <row r="100" spans="1:4" ht="18" customHeight="1" x14ac:dyDescent="0.25">
      <c r="A100" s="33" t="str">
        <f ca="1">IFERROR(__xludf.DUMMYFUNCTION("""COMPUTED_VALUE"""),"113. City mall")</f>
        <v>113. City mall</v>
      </c>
      <c r="B100" s="34">
        <f ca="1">IFERROR(__xludf.DUMMYFUNCTION("""COMPUTED_VALUE"""),38253)</f>
        <v>38253</v>
      </c>
      <c r="C100" s="35" t="str">
        <f ca="1">IFERROR(__xludf.DUMMYFUNCTION("""COMPUTED_VALUE"""),"XAMIDOV AZIZBEK OLIMJON O'G'LI")</f>
        <v>XAMIDOV AZIZBEK OLIMJON O'G'LI</v>
      </c>
      <c r="D100" s="35" t="str">
        <f ca="1">IFERROR(__xludf.DUMMYFUNCTION("""COMPUTED_VALUE"""),"Младший пиццерист")</f>
        <v>Младший пиццерист</v>
      </c>
    </row>
    <row r="101" spans="1:4" ht="18" customHeight="1" x14ac:dyDescent="0.25">
      <c r="A101" s="33" t="str">
        <f ca="1">IFERROR(__xludf.DUMMYFUNCTION("""COMPUTED_VALUE"""),"113. City mall")</f>
        <v>113. City mall</v>
      </c>
      <c r="B101" s="34">
        <f ca="1">IFERROR(__xludf.DUMMYFUNCTION("""COMPUTED_VALUE"""),36475)</f>
        <v>36475</v>
      </c>
      <c r="C101" s="35" t="str">
        <f ca="1">IFERROR(__xludf.DUMMYFUNCTION("""COMPUTED_VALUE"""),"BOBOMURODOV BEHZOD AKBAR O'G'LI")</f>
        <v>BOBOMURODOV BEHZOD AKBAR O'G'LI</v>
      </c>
      <c r="D101" s="35" t="str">
        <f ca="1">IFERROR(__xludf.DUMMYFUNCTION("""COMPUTED_VALUE"""),"Старший повар Wok")</f>
        <v>Старший повар Wok</v>
      </c>
    </row>
    <row r="102" spans="1:4" ht="18" customHeight="1" x14ac:dyDescent="0.25">
      <c r="A102" s="33" t="str">
        <f ca="1">IFERROR(__xludf.DUMMYFUNCTION("""COMPUTED_VALUE"""),"113. City mall")</f>
        <v>113. City mall</v>
      </c>
      <c r="B102" s="34">
        <f ca="1">IFERROR(__xludf.DUMMYFUNCTION("""COMPUTED_VALUE"""),39425)</f>
        <v>39425</v>
      </c>
      <c r="C102" s="35" t="str">
        <f ca="1">IFERROR(__xludf.DUMMYFUNCTION("""COMPUTED_VALUE"""),"XOLBOZOROVA AZIZA ALISHER QIZI")</f>
        <v>XOLBOZOROVA AZIZA ALISHER QIZI</v>
      </c>
      <c r="D102" s="35" t="str">
        <f ca="1">IFERROR(__xludf.DUMMYFUNCTION("""COMPUTED_VALUE"""),"Сотрудник первой линии")</f>
        <v>Сотрудник первой линии</v>
      </c>
    </row>
    <row r="103" spans="1:4" ht="18" customHeight="1" x14ac:dyDescent="0.25">
      <c r="A103" s="33" t="str">
        <f ca="1">IFERROR(__xludf.DUMMYFUNCTION("""COMPUTED_VALUE"""),"113. City mall")</f>
        <v>113. City mall</v>
      </c>
      <c r="B103" s="34">
        <f ca="1">IFERROR(__xludf.DUMMYFUNCTION("""COMPUTED_VALUE"""),38435)</f>
        <v>38435</v>
      </c>
      <c r="C103" s="35" t="str">
        <f ca="1">IFERROR(__xludf.DUMMYFUNCTION("""COMPUTED_VALUE"""),"BOBOYEVA DILDORA SHODIYEVNA")</f>
        <v>BOBOYEVA DILDORA SHODIYEVNA</v>
      </c>
      <c r="D103" s="35" t="str">
        <f ca="1">IFERROR(__xludf.DUMMYFUNCTION("""COMPUTED_VALUE"""),"Кассир")</f>
        <v>Кассир</v>
      </c>
    </row>
    <row r="104" spans="1:4" ht="18" customHeight="1" x14ac:dyDescent="0.25">
      <c r="A104" s="33" t="str">
        <f ca="1">IFERROR(__xludf.DUMMYFUNCTION("""COMPUTED_VALUE"""),"113. City mall")</f>
        <v>113. City mall</v>
      </c>
      <c r="B104" s="34">
        <f ca="1">IFERROR(__xludf.DUMMYFUNCTION("""COMPUTED_VALUE"""),38906)</f>
        <v>38906</v>
      </c>
      <c r="C104" s="35" t="str">
        <f ca="1">IFERROR(__xludf.DUMMYFUNCTION("""COMPUTED_VALUE"""),"ESANOV KOMRONBEK UMIDJON O'G'LI")</f>
        <v>ESANOV KOMRONBEK UMIDJON O'G'LI</v>
      </c>
      <c r="D104" s="35" t="str">
        <f ca="1">IFERROR(__xludf.DUMMYFUNCTION("""COMPUTED_VALUE"""),"Стажер повар WOK")</f>
        <v>Стажер повар WOK</v>
      </c>
    </row>
    <row r="105" spans="1:4" ht="18" customHeight="1" x14ac:dyDescent="0.25">
      <c r="A105" s="33" t="str">
        <f ca="1">IFERROR(__xludf.DUMMYFUNCTION("""COMPUTED_VALUE"""),"112. Compass Mall")</f>
        <v>112. Compass Mall</v>
      </c>
      <c r="B105" s="34">
        <f ca="1">IFERROR(__xludf.DUMMYFUNCTION("""COMPUTED_VALUE"""),35974)</f>
        <v>35974</v>
      </c>
      <c r="C105" s="35" t="str">
        <f ca="1">IFERROR(__xludf.DUMMYFUNCTION("""COMPUTED_VALUE"""),"URUNOV FURQAT FARXOD O'G'LI")</f>
        <v>URUNOV FURQAT FARXOD O'G'LI</v>
      </c>
      <c r="D105" s="35" t="str">
        <f ca="1">IFERROR(__xludf.DUMMYFUNCTION("""COMPUTED_VALUE"""),"Стажер управляющий")</f>
        <v>Стажер управляющий</v>
      </c>
    </row>
    <row r="106" spans="1:4" ht="18" customHeight="1" x14ac:dyDescent="0.25">
      <c r="A106" s="33" t="str">
        <f ca="1">IFERROR(__xludf.DUMMYFUNCTION("""COMPUTED_VALUE"""),"112. Compass Mall")</f>
        <v>112. Compass Mall</v>
      </c>
      <c r="B106" s="34">
        <f ca="1">IFERROR(__xludf.DUMMYFUNCTION("""COMPUTED_VALUE"""),33379)</f>
        <v>33379</v>
      </c>
      <c r="C106" s="35" t="str">
        <f ca="1">IFERROR(__xludf.DUMMYFUNCTION("""COMPUTED_VALUE"""),"SAYDILLAYEV SHERALI GULAMJANOVICH")</f>
        <v>SAYDILLAYEV SHERALI GULAMJANOVICH</v>
      </c>
      <c r="D106" s="35" t="str">
        <f ca="1">IFERROR(__xludf.DUMMYFUNCTION("""COMPUTED_VALUE"""),"Сменный менеджер")</f>
        <v>Сменный менеджер</v>
      </c>
    </row>
    <row r="107" spans="1:4" ht="18" customHeight="1" x14ac:dyDescent="0.25">
      <c r="A107" s="33" t="str">
        <f ca="1">IFERROR(__xludf.DUMMYFUNCTION("""COMPUTED_VALUE"""),"112. Compass Mall")</f>
        <v>112. Compass Mall</v>
      </c>
      <c r="B107" s="34">
        <f ca="1">IFERROR(__xludf.DUMMYFUNCTION("""COMPUTED_VALUE"""),37429)</f>
        <v>37429</v>
      </c>
      <c r="C107" s="35" t="str">
        <f ca="1">IFERROR(__xludf.DUMMYFUNCTION("""COMPUTED_VALUE"""),"DAVLATOV JAVOHIR JALIL O'G'LI")</f>
        <v>DAVLATOV JAVOHIR JALIL O'G'LI</v>
      </c>
      <c r="D107" s="35" t="str">
        <f ca="1">IFERROR(__xludf.DUMMYFUNCTION("""COMPUTED_VALUE"""),"Сменный менеджер")</f>
        <v>Сменный менеджер</v>
      </c>
    </row>
    <row r="108" spans="1:4" ht="18" customHeight="1" x14ac:dyDescent="0.25">
      <c r="A108" s="33" t="str">
        <f ca="1">IFERROR(__xludf.DUMMYFUNCTION("""COMPUTED_VALUE"""),"112. Compass Mall")</f>
        <v>112. Compass Mall</v>
      </c>
      <c r="B108" s="34">
        <f ca="1">IFERROR(__xludf.DUMMYFUNCTION("""COMPUTED_VALUE"""),38555)</f>
        <v>38555</v>
      </c>
      <c r="C108" s="35" t="str">
        <f ca="1">IFERROR(__xludf.DUMMYFUNCTION("""COMPUTED_VALUE"""),"XUJAYEVA IMAN JAMSHIDOVNA")</f>
        <v>XUJAYEVA IMAN JAMSHIDOVNA</v>
      </c>
      <c r="D108" s="35" t="str">
        <f ca="1">IFERROR(__xludf.DUMMYFUNCTION("""COMPUTED_VALUE"""),"Сменный менеджер")</f>
        <v>Сменный менеджер</v>
      </c>
    </row>
    <row r="109" spans="1:4" ht="18" customHeight="1" x14ac:dyDescent="0.25">
      <c r="A109" s="33" t="str">
        <f ca="1">IFERROR(__xludf.DUMMYFUNCTION("""COMPUTED_VALUE"""),"112. Compass Mall")</f>
        <v>112. Compass Mall</v>
      </c>
      <c r="B109" s="34">
        <f ca="1">IFERROR(__xludf.DUMMYFUNCTION("""COMPUTED_VALUE"""),28274)</f>
        <v>28274</v>
      </c>
      <c r="C109" s="35" t="str">
        <f ca="1">IFERROR(__xludf.DUMMYFUNCTION("""COMPUTED_VALUE"""),"NOSIROVA UMIDA RAXIMJANOVNA")</f>
        <v>NOSIROVA UMIDA RAXIMJANOVNA</v>
      </c>
      <c r="D109" s="35" t="str">
        <f ca="1">IFERROR(__xludf.DUMMYFUNCTION("""COMPUTED_VALUE"""),"Лидер производствa Street")</f>
        <v>Лидер производствa Street</v>
      </c>
    </row>
    <row r="110" spans="1:4" ht="18" customHeight="1" x14ac:dyDescent="0.25">
      <c r="A110" s="33" t="str">
        <f ca="1">IFERROR(__xludf.DUMMYFUNCTION("""COMPUTED_VALUE"""),"112. Compass Mall")</f>
        <v>112. Compass Mall</v>
      </c>
      <c r="B110" s="34">
        <f ca="1">IFERROR(__xludf.DUMMYFUNCTION("""COMPUTED_VALUE"""),38106)</f>
        <v>38106</v>
      </c>
      <c r="C110" s="35" t="str">
        <f ca="1">IFERROR(__xludf.DUMMYFUNCTION("""COMPUTED_VALUE"""),"MAKHKAMBAEVA MUNAVVAR BEGMUROD-QIZI")</f>
        <v>MAKHKAMBAEVA MUNAVVAR BEGMUROD-QIZI</v>
      </c>
      <c r="D110" s="35" t="str">
        <f ca="1">IFERROR(__xludf.DUMMYFUNCTION("""COMPUTED_VALUE"""),"Лидер производствa Street")</f>
        <v>Лидер производствa Street</v>
      </c>
    </row>
    <row r="111" spans="1:4" ht="18" customHeight="1" x14ac:dyDescent="0.25">
      <c r="A111" s="33" t="str">
        <f ca="1">IFERROR(__xludf.DUMMYFUNCTION("""COMPUTED_VALUE"""),"112. Compass Mall")</f>
        <v>112. Compass Mall</v>
      </c>
      <c r="B111" s="34">
        <f ca="1">IFERROR(__xludf.DUMMYFUNCTION("""COMPUTED_VALUE"""),34339)</f>
        <v>34339</v>
      </c>
      <c r="C111" s="35" t="str">
        <f ca="1">IFERROR(__xludf.DUMMYFUNCTION("""COMPUTED_VALUE"""),"VORONKIN RUSLAN NURIYEVICH")</f>
        <v>VORONKIN RUSLAN NURIYEVICH</v>
      </c>
      <c r="D111" s="35" t="str">
        <f ca="1">IFERROR(__xludf.DUMMYFUNCTION("""COMPUTED_VALUE"""),"Сушист")</f>
        <v>Сушист</v>
      </c>
    </row>
    <row r="112" spans="1:4" ht="18" customHeight="1" x14ac:dyDescent="0.25">
      <c r="A112" s="33" t="str">
        <f ca="1">IFERROR(__xludf.DUMMYFUNCTION("""COMPUTED_VALUE"""),"112. Compass Mall")</f>
        <v>112. Compass Mall</v>
      </c>
      <c r="B112" s="34">
        <f ca="1">IFERROR(__xludf.DUMMYFUNCTION("""COMPUTED_VALUE"""),38682)</f>
        <v>38682</v>
      </c>
      <c r="C112" s="35" t="str">
        <f ca="1">IFERROR(__xludf.DUMMYFUNCTION("""COMPUTED_VALUE"""),"QO'CHQOROV SANJARBEK SAPARALI O'G'LI")</f>
        <v>QO'CHQOROV SANJARBEK SAPARALI O'G'LI</v>
      </c>
      <c r="D112" s="35" t="str">
        <f ca="1">IFERROR(__xludf.DUMMYFUNCTION("""COMPUTED_VALUE"""),"Лидер производства WOK")</f>
        <v>Лидер производства WOK</v>
      </c>
    </row>
    <row r="113" spans="1:4" ht="18" customHeight="1" x14ac:dyDescent="0.25">
      <c r="A113" s="33" t="str">
        <f ca="1">IFERROR(__xludf.DUMMYFUNCTION("""COMPUTED_VALUE"""),"112. Compass Mall")</f>
        <v>112. Compass Mall</v>
      </c>
      <c r="B113" s="34">
        <f ca="1">IFERROR(__xludf.DUMMYFUNCTION("""COMPUTED_VALUE"""),38241)</f>
        <v>38241</v>
      </c>
      <c r="C113" s="35" t="str">
        <f ca="1">IFERROR(__xludf.DUMMYFUNCTION("""COMPUTED_VALUE"""),"ABDURASHIDOV ABDULAZIZ ABDUXALIL O'G'LI")</f>
        <v>ABDURASHIDOV ABDULAZIZ ABDUXALIL O'G'LI</v>
      </c>
      <c r="D113" s="35" t="str">
        <f ca="1">IFERROR(__xludf.DUMMYFUNCTION("""COMPUTED_VALUE"""),"Пиццерист")</f>
        <v>Пиццерист</v>
      </c>
    </row>
    <row r="114" spans="1:4" ht="18" customHeight="1" x14ac:dyDescent="0.25">
      <c r="A114" s="33" t="str">
        <f ca="1">IFERROR(__xludf.DUMMYFUNCTION("""COMPUTED_VALUE"""),"112. Compass Mall")</f>
        <v>112. Compass Mall</v>
      </c>
      <c r="B114" s="34">
        <f ca="1">IFERROR(__xludf.DUMMYFUNCTION("""COMPUTED_VALUE"""),39314)</f>
        <v>39314</v>
      </c>
      <c r="C114" s="35" t="str">
        <f ca="1">IFERROR(__xludf.DUMMYFUNCTION("""COMPUTED_VALUE"""),"ABDUMALIKOV ABDULBORIY G'ANIJON O'G'LI")</f>
        <v>ABDUMALIKOV ABDULBORIY G'ANIJON O'G'LI</v>
      </c>
      <c r="D114" s="35" t="str">
        <f ca="1">IFERROR(__xludf.DUMMYFUNCTION("""COMPUTED_VALUE"""),"Универсальный повар Street")</f>
        <v>Универсальный повар Street</v>
      </c>
    </row>
    <row r="115" spans="1:4" ht="18" customHeight="1" x14ac:dyDescent="0.25">
      <c r="A115" s="33" t="str">
        <f ca="1">IFERROR(__xludf.DUMMYFUNCTION("""COMPUTED_VALUE"""),"112. Compass Mall")</f>
        <v>112. Compass Mall</v>
      </c>
      <c r="B115" s="34">
        <f ca="1">IFERROR(__xludf.DUMMYFUNCTION("""COMPUTED_VALUE"""),39398)</f>
        <v>39398</v>
      </c>
      <c r="C115" s="35" t="str">
        <f ca="1">IFERROR(__xludf.DUMMYFUNCTION("""COMPUTED_VALUE"""),"PARDAYEV DIYORBEK AKMAL O'G'LI")</f>
        <v>PARDAYEV DIYORBEK AKMAL O'G'LI</v>
      </c>
      <c r="D115" s="35" t="str">
        <f ca="1">IFERROR(__xludf.DUMMYFUNCTION("""COMPUTED_VALUE"""),"Старший повар Wok")</f>
        <v>Старший повар Wok</v>
      </c>
    </row>
    <row r="116" spans="1:4" ht="18" customHeight="1" x14ac:dyDescent="0.25">
      <c r="A116" s="33" t="str">
        <f ca="1">IFERROR(__xludf.DUMMYFUNCTION("""COMPUTED_VALUE"""),"112. Compass Mall")</f>
        <v>112. Compass Mall</v>
      </c>
      <c r="B116" s="34">
        <f ca="1">IFERROR(__xludf.DUMMYFUNCTION("""COMPUTED_VALUE"""),38318)</f>
        <v>38318</v>
      </c>
      <c r="C116" s="35" t="str">
        <f ca="1">IFERROR(__xludf.DUMMYFUNCTION("""COMPUTED_VALUE"""),"ALIKULOVA GULJAN BAUIRJAN QIZI")</f>
        <v>ALIKULOVA GULJAN BAUIRJAN QIZI</v>
      </c>
      <c r="D116" s="35" t="str">
        <f ca="1">IFERROR(__xludf.DUMMYFUNCTION("""COMPUTED_VALUE"""),"Пиццерист")</f>
        <v>Пиццерист</v>
      </c>
    </row>
    <row r="117" spans="1:4" ht="18" customHeight="1" x14ac:dyDescent="0.25">
      <c r="A117" s="33" t="str">
        <f ca="1">IFERROR(__xludf.DUMMYFUNCTION("""COMPUTED_VALUE"""),"112. Compass Mall")</f>
        <v>112. Compass Mall</v>
      </c>
      <c r="B117" s="34">
        <f ca="1">IFERROR(__xludf.DUMMYFUNCTION("""COMPUTED_VALUE"""),39101)</f>
        <v>39101</v>
      </c>
      <c r="C117" s="35" t="str">
        <f ca="1">IFERROR(__xludf.DUMMYFUNCTION("""COMPUTED_VALUE"""),"MUZAFFAROV SARDORBEK KOMIL O'G'LI")</f>
        <v>MUZAFFAROV SARDORBEK KOMIL O'G'LI</v>
      </c>
      <c r="D117" s="35" t="str">
        <f ca="1">IFERROR(__xludf.DUMMYFUNCTION("""COMPUTED_VALUE"""),"Старший повар Wok")</f>
        <v>Старший повар Wok</v>
      </c>
    </row>
    <row r="118" spans="1:4" ht="18" customHeight="1" x14ac:dyDescent="0.25">
      <c r="A118" s="33" t="str">
        <f ca="1">IFERROR(__xludf.DUMMYFUNCTION("""COMPUTED_VALUE"""),"112. Compass Mall")</f>
        <v>112. Compass Mall</v>
      </c>
      <c r="B118" s="34">
        <f ca="1">IFERROR(__xludf.DUMMYFUNCTION("""COMPUTED_VALUE"""),36704)</f>
        <v>36704</v>
      </c>
      <c r="C118" s="35" t="str">
        <f ca="1">IFERROR(__xludf.DUMMYFUNCTION("""COMPUTED_VALUE"""),"MAMASOLIYEVA O'G'ILOY ABDUSALOM QIZI")</f>
        <v>MAMASOLIYEVA O'G'ILOY ABDUSALOM QIZI</v>
      </c>
      <c r="D118" s="35" t="str">
        <f ca="1">IFERROR(__xludf.DUMMYFUNCTION("""COMPUTED_VALUE"""),"Универсальный сотрудник Front line")</f>
        <v>Универсальный сотрудник Front line</v>
      </c>
    </row>
    <row r="119" spans="1:4" ht="18" customHeight="1" x14ac:dyDescent="0.25">
      <c r="A119" s="33" t="str">
        <f ca="1">IFERROR(__xludf.DUMMYFUNCTION("""COMPUTED_VALUE"""),"112. Compass Mall")</f>
        <v>112. Compass Mall</v>
      </c>
      <c r="B119" s="34">
        <f ca="1">IFERROR(__xludf.DUMMYFUNCTION("""COMPUTED_VALUE"""),28469)</f>
        <v>28469</v>
      </c>
      <c r="C119" s="35" t="str">
        <f ca="1">IFERROR(__xludf.DUMMYFUNCTION("""COMPUTED_VALUE"""),"ORTIQOVA NARGIZA MADALIYEVNA")</f>
        <v>ORTIQOVA NARGIZA MADALIYEVNA</v>
      </c>
      <c r="D119" s="35" t="str">
        <f ca="1">IFERROR(__xludf.DUMMYFUNCTION("""COMPUTED_VALUE"""),"Старший рабочий кухни (Техничка, мойка)")</f>
        <v>Старший рабочий кухни (Техничка, мойка)</v>
      </c>
    </row>
    <row r="120" spans="1:4" ht="18" customHeight="1" x14ac:dyDescent="0.25">
      <c r="A120" s="33" t="str">
        <f ca="1">IFERROR(__xludf.DUMMYFUNCTION("""COMPUTED_VALUE"""),"112. Compass Mall")</f>
        <v>112. Compass Mall</v>
      </c>
      <c r="B120" s="34">
        <f ca="1">IFERROR(__xludf.DUMMYFUNCTION("""COMPUTED_VALUE"""),36228)</f>
        <v>36228</v>
      </c>
      <c r="C120" s="35" t="str">
        <f ca="1">IFERROR(__xludf.DUMMYFUNCTION("""COMPUTED_VALUE"""),"ORTIQOV ZULQAYNAR ILXOM O'G'LI")</f>
        <v>ORTIQOV ZULQAYNAR ILXOM O'G'LI</v>
      </c>
      <c r="D120" s="35" t="str">
        <f ca="1">IFERROR(__xludf.DUMMYFUNCTION("""COMPUTED_VALUE"""),"Старший повар Wok")</f>
        <v>Старший повар Wok</v>
      </c>
    </row>
    <row r="121" spans="1:4" ht="18" customHeight="1" x14ac:dyDescent="0.25">
      <c r="A121" s="33" t="str">
        <f ca="1">IFERROR(__xludf.DUMMYFUNCTION("""COMPUTED_VALUE"""),"112. Compass Mall")</f>
        <v>112. Compass Mall</v>
      </c>
      <c r="B121" s="34">
        <f ca="1">IFERROR(__xludf.DUMMYFUNCTION("""COMPUTED_VALUE"""),39312)</f>
        <v>39312</v>
      </c>
      <c r="C121" s="35" t="str">
        <f ca="1">IFERROR(__xludf.DUMMYFUNCTION("""COMPUTED_VALUE"""),"MIRXOVADOV MIRA'LAM MIRFAYOZ O'G'LI")</f>
        <v>MIRXOVADOV MIRA'LAM MIRFAYOZ O'G'LI</v>
      </c>
      <c r="D121" s="35" t="str">
        <f ca="1">IFERROR(__xludf.DUMMYFUNCTION("""COMPUTED_VALUE"""),"Пиццерист")</f>
        <v>Пиццерист</v>
      </c>
    </row>
    <row r="122" spans="1:4" ht="18" customHeight="1" x14ac:dyDescent="0.25">
      <c r="A122" s="33" t="str">
        <f ca="1">IFERROR(__xludf.DUMMYFUNCTION("""COMPUTED_VALUE"""),"112. Compass Mall")</f>
        <v>112. Compass Mall</v>
      </c>
      <c r="B122" s="34">
        <f ca="1">IFERROR(__xludf.DUMMYFUNCTION("""COMPUTED_VALUE"""),39322)</f>
        <v>39322</v>
      </c>
      <c r="C122" s="35" t="str">
        <f ca="1">IFERROR(__xludf.DUMMYFUNCTION("""COMPUTED_VALUE"""),"BOSHMONOV FERUZBEK ALIMARDON O'G'LI")</f>
        <v>BOSHMONOV FERUZBEK ALIMARDON O'G'LI</v>
      </c>
      <c r="D122" s="35" t="str">
        <f ca="1">IFERROR(__xludf.DUMMYFUNCTION("""COMPUTED_VALUE"""),"Универсальный повар WOK")</f>
        <v>Универсальный повар WOK</v>
      </c>
    </row>
    <row r="123" spans="1:4" ht="18" customHeight="1" x14ac:dyDescent="0.25">
      <c r="A123" s="33" t="str">
        <f ca="1">IFERROR(__xludf.DUMMYFUNCTION("""COMPUTED_VALUE"""),"112. Compass Mall")</f>
        <v>112. Compass Mall</v>
      </c>
      <c r="B123" s="34">
        <f ca="1">IFERROR(__xludf.DUMMYFUNCTION("""COMPUTED_VALUE"""),38868)</f>
        <v>38868</v>
      </c>
      <c r="C123" s="35" t="str">
        <f ca="1">IFERROR(__xludf.DUMMYFUNCTION("""COMPUTED_VALUE"""),"ERMUXAMMADOVA MUXLISA SHUXRAT QIZI")</f>
        <v>ERMUXAMMADOVA MUXLISA SHUXRAT QIZI</v>
      </c>
      <c r="D123" s="35" t="str">
        <f ca="1">IFERROR(__xludf.DUMMYFUNCTION("""COMPUTED_VALUE"""),"Пиццерист")</f>
        <v>Пиццерист</v>
      </c>
    </row>
    <row r="124" spans="1:4" ht="18" customHeight="1" x14ac:dyDescent="0.25">
      <c r="A124" s="33" t="str">
        <f ca="1">IFERROR(__xludf.DUMMYFUNCTION("""COMPUTED_VALUE"""),"112. Compass Mall")</f>
        <v>112. Compass Mall</v>
      </c>
      <c r="B124" s="34">
        <f ca="1">IFERROR(__xludf.DUMMYFUNCTION("""COMPUTED_VALUE"""),39427)</f>
        <v>39427</v>
      </c>
      <c r="C124" s="35" t="str">
        <f ca="1">IFERROR(__xludf.DUMMYFUNCTION("""COMPUTED_VALUE"""),"USMONOVA SHIRIN ILXOMJON QIZI")</f>
        <v>USMONOVA SHIRIN ILXOMJON QIZI</v>
      </c>
      <c r="D124" s="35" t="str">
        <f ca="1">IFERROR(__xludf.DUMMYFUNCTION("""COMPUTED_VALUE"""),"Стажер первoй линии")</f>
        <v>Стажер первoй линии</v>
      </c>
    </row>
    <row r="125" spans="1:4" ht="18" customHeight="1" x14ac:dyDescent="0.25">
      <c r="A125" s="33" t="str">
        <f ca="1">IFERROR(__xludf.DUMMYFUNCTION("""COMPUTED_VALUE"""),"112. Compass Mall")</f>
        <v>112. Compass Mall</v>
      </c>
      <c r="B125" s="34">
        <f ca="1">IFERROR(__xludf.DUMMYFUNCTION("""COMPUTED_VALUE"""),38594)</f>
        <v>38594</v>
      </c>
      <c r="C125" s="35" t="str">
        <f ca="1">IFERROR(__xludf.DUMMYFUNCTION("""COMPUTED_VALUE"""),"TOSHPO'LATOVA MUBINAXON MUXSINJON QIZI")</f>
        <v>TOSHPO'LATOVA MUBINAXON MUXSINJON QIZI</v>
      </c>
      <c r="D125" s="35" t="str">
        <f ca="1">IFERROR(__xludf.DUMMYFUNCTION("""COMPUTED_VALUE"""),"Стажер кассир")</f>
        <v>Стажер кассир</v>
      </c>
    </row>
    <row r="126" spans="1:4" ht="18" customHeight="1" x14ac:dyDescent="0.25">
      <c r="A126" s="33" t="str">
        <f ca="1">IFERROR(__xludf.DUMMYFUNCTION("""COMPUTED_VALUE"""),"112. Compass Mall")</f>
        <v>112. Compass Mall</v>
      </c>
      <c r="B126" s="34">
        <f ca="1">IFERROR(__xludf.DUMMYFUNCTION("""COMPUTED_VALUE"""),39024)</f>
        <v>39024</v>
      </c>
      <c r="C126" s="35" t="str">
        <f ca="1">IFERROR(__xludf.DUMMYFUNCTION("""COMPUTED_VALUE"""),"NORMURODOVA GULJAHON G'OLIBJON QIZI")</f>
        <v>NORMURODOVA GULJAHON G'OLIBJON QIZI</v>
      </c>
      <c r="D126" s="35" t="str">
        <f ca="1">IFERROR(__xludf.DUMMYFUNCTION("""COMPUTED_VALUE"""),"Стажер повар WOK")</f>
        <v>Стажер повар WOK</v>
      </c>
    </row>
    <row r="127" spans="1:4" ht="18" customHeight="1" x14ac:dyDescent="0.25">
      <c r="A127" s="33" t="str">
        <f ca="1">IFERROR(__xludf.DUMMYFUNCTION("""COMPUTED_VALUE"""),"112. Compass Mall")</f>
        <v>112. Compass Mall</v>
      </c>
      <c r="B127" s="34">
        <f ca="1">IFERROR(__xludf.DUMMYFUNCTION("""COMPUTED_VALUE"""),37958)</f>
        <v>37958</v>
      </c>
      <c r="C127" s="35" t="str">
        <f ca="1">IFERROR(__xludf.DUMMYFUNCTION("""COMPUTED_VALUE"""),"NISHONOVA DILBAR DILSHOD QIZI")</f>
        <v>NISHONOVA DILBAR DILSHOD QIZI</v>
      </c>
      <c r="D127" s="35" t="str">
        <f ca="1">IFERROR(__xludf.DUMMYFUNCTION("""COMPUTED_VALUE"""),"Младший пиццерист")</f>
        <v>Младший пиццерист</v>
      </c>
    </row>
    <row r="128" spans="1:4" ht="18" customHeight="1" x14ac:dyDescent="0.25">
      <c r="A128" s="33" t="str">
        <f ca="1">IFERROR(__xludf.DUMMYFUNCTION("""COMPUTED_VALUE"""),"112. Compass Mall")</f>
        <v>112. Compass Mall</v>
      </c>
      <c r="B128" s="34">
        <f ca="1">IFERROR(__xludf.DUMMYFUNCTION("""COMPUTED_VALUE"""),37971)</f>
        <v>37971</v>
      </c>
      <c r="C128" s="35" t="str">
        <f ca="1">IFERROR(__xludf.DUMMYFUNCTION("""COMPUTED_VALUE"""),"ABDIKAXXAROVA E'ZOZAXON OLIM QIZI")</f>
        <v>ABDIKAXXAROVA E'ZOZAXON OLIM QIZI</v>
      </c>
      <c r="D128" s="35" t="str">
        <f ca="1">IFERROR(__xludf.DUMMYFUNCTION("""COMPUTED_VALUE"""),"Младший пиццерист")</f>
        <v>Младший пиццерист</v>
      </c>
    </row>
    <row r="129" spans="1:4" ht="18" customHeight="1" x14ac:dyDescent="0.25">
      <c r="A129" s="33" t="str">
        <f ca="1">IFERROR(__xludf.DUMMYFUNCTION("""COMPUTED_VALUE"""),"112. Compass Mall")</f>
        <v>112. Compass Mall</v>
      </c>
      <c r="B129" s="34">
        <f ca="1">IFERROR(__xludf.DUMMYFUNCTION("""COMPUTED_VALUE"""),39433)</f>
        <v>39433</v>
      </c>
      <c r="C129" s="35" t="str">
        <f ca="1">IFERROR(__xludf.DUMMYFUNCTION("""COMPUTED_VALUE"""),"MIRZAKARIMOVA AROFAT MAXAMAD QIZI")</f>
        <v>MIRZAKARIMOVA AROFAT MAXAMAD QIZI</v>
      </c>
      <c r="D129" s="35" t="str">
        <f ca="1">IFERROR(__xludf.DUMMYFUNCTION("""COMPUTED_VALUE"""),"Стажер первoй линии")</f>
        <v>Стажер первoй линии</v>
      </c>
    </row>
    <row r="130" spans="1:4" ht="18" customHeight="1" x14ac:dyDescent="0.25">
      <c r="A130" s="33" t="str">
        <f ca="1">IFERROR(__xludf.DUMMYFUNCTION("""COMPUTED_VALUE"""),"112. Compass Mall")</f>
        <v>112. Compass Mall</v>
      </c>
      <c r="B130" s="34">
        <f ca="1">IFERROR(__xludf.DUMMYFUNCTION("""COMPUTED_VALUE"""),38519)</f>
        <v>38519</v>
      </c>
      <c r="C130" s="35" t="str">
        <f ca="1">IFERROR(__xludf.DUMMYFUNCTION("""COMPUTED_VALUE"""),"ISOMOV SHOHJAHON ASLIDDIN O'G'LI")</f>
        <v>ISOMOV SHOHJAHON ASLIDDIN O'G'LI</v>
      </c>
      <c r="D130" s="35" t="str">
        <f ca="1">IFERROR(__xludf.DUMMYFUNCTION("""COMPUTED_VALUE"""),"Стажер повар Street")</f>
        <v>Стажер повар Street</v>
      </c>
    </row>
    <row r="131" spans="1:4" ht="18" customHeight="1" x14ac:dyDescent="0.25">
      <c r="A131" s="33" t="str">
        <f ca="1">IFERROR(__xludf.DUMMYFUNCTION("""COMPUTED_VALUE"""),"112. Compass Mall")</f>
        <v>112. Compass Mall</v>
      </c>
      <c r="B131" s="34">
        <f ca="1">IFERROR(__xludf.DUMMYFUNCTION("""COMPUTED_VALUE"""),39160)</f>
        <v>39160</v>
      </c>
      <c r="C131" s="35" t="str">
        <f ca="1">IFERROR(__xludf.DUMMYFUNCTION("""COMPUTED_VALUE"""),"ABDUJALILOV ABDULLOH SHERZODOVICH")</f>
        <v>ABDUJALILOV ABDULLOH SHERZODOVICH</v>
      </c>
      <c r="D131" s="35" t="str">
        <f ca="1">IFERROR(__xludf.DUMMYFUNCTION("""COMPUTED_VALUE"""),"Стажер повар Street")</f>
        <v>Стажер повар Street</v>
      </c>
    </row>
    <row r="132" spans="1:4" ht="18" customHeight="1" x14ac:dyDescent="0.25">
      <c r="A132" s="33" t="str">
        <f ca="1">IFERROR(__xludf.DUMMYFUNCTION("""COMPUTED_VALUE"""),"112. Compass Mall")</f>
        <v>112. Compass Mall</v>
      </c>
      <c r="B132" s="34">
        <f ca="1">IFERROR(__xludf.DUMMYFUNCTION("""COMPUTED_VALUE"""),34962)</f>
        <v>34962</v>
      </c>
      <c r="C132" s="35" t="str">
        <f ca="1">IFERROR(__xludf.DUMMYFUNCTION("""COMPUTED_VALUE"""),"MIRZAYEVA ZULFIYAXON XUSAN QIZI")</f>
        <v>MIRZAYEVA ZULFIYAXON XUSAN QIZI</v>
      </c>
      <c r="D132" s="35" t="str">
        <f ca="1">IFERROR(__xludf.DUMMYFUNCTION("""COMPUTED_VALUE"""),"Стажер первoй линии")</f>
        <v>Стажер первoй линии</v>
      </c>
    </row>
    <row r="133" spans="1:4" ht="18" customHeight="1" x14ac:dyDescent="0.25">
      <c r="A133" s="33" t="str">
        <f ca="1">IFERROR(__xludf.DUMMYFUNCTION("""COMPUTED_VALUE"""),"112. Compass Mall")</f>
        <v>112. Compass Mall</v>
      </c>
      <c r="B133" s="34">
        <f ca="1">IFERROR(__xludf.DUMMYFUNCTION("""COMPUTED_VALUE"""),38093)</f>
        <v>38093</v>
      </c>
      <c r="C133" s="35" t="str">
        <f ca="1">IFERROR(__xludf.DUMMYFUNCTION("""COMPUTED_VALUE"""),"SHORAXMEDOVA NARGIZABONU SHAXTIYOR QIZI")</f>
        <v>SHORAXMEDOVA NARGIZABONU SHAXTIYOR QIZI</v>
      </c>
      <c r="D133" s="35" t="str">
        <f ca="1">IFERROR(__xludf.DUMMYFUNCTION("""COMPUTED_VALUE"""),"Стажер кассир")</f>
        <v>Стажер кассир</v>
      </c>
    </row>
    <row r="134" spans="1:4" ht="18" customHeight="1" x14ac:dyDescent="0.25">
      <c r="A134" s="33" t="str">
        <f ca="1">IFERROR(__xludf.DUMMYFUNCTION("""COMPUTED_VALUE"""),"112. Compass Mall")</f>
        <v>112. Compass Mall</v>
      </c>
      <c r="B134" s="34">
        <f ca="1">IFERROR(__xludf.DUMMYFUNCTION("""COMPUTED_VALUE"""),38903)</f>
        <v>38903</v>
      </c>
      <c r="C134" s="35" t="str">
        <f ca="1">IFERROR(__xludf.DUMMYFUNCTION("""COMPUTED_VALUE"""),"KAXXAROVA DIYORAXON ALISHER QIZI")</f>
        <v>KAXXAROVA DIYORAXON ALISHER QIZI</v>
      </c>
      <c r="D134" s="35" t="str">
        <f ca="1">IFERROR(__xludf.DUMMYFUNCTION("""COMPUTED_VALUE"""),"Стажер кассир")</f>
        <v>Стажер кассир</v>
      </c>
    </row>
    <row r="135" spans="1:4" ht="18" customHeight="1" x14ac:dyDescent="0.25">
      <c r="A135" s="33" t="str">
        <f ca="1">IFERROR(__xludf.DUMMYFUNCTION("""COMPUTED_VALUE"""),"112. Compass Mall")</f>
        <v>112. Compass Mall</v>
      </c>
      <c r="B135" s="34">
        <f ca="1">IFERROR(__xludf.DUMMYFUNCTION("""COMPUTED_VALUE"""),38628)</f>
        <v>38628</v>
      </c>
      <c r="C135" s="35" t="str">
        <f ca="1">IFERROR(__xludf.DUMMYFUNCTION("""COMPUTED_VALUE"""),"ISMANALIYEVA JASMINA YERALI QIZI")</f>
        <v>ISMANALIYEVA JASMINA YERALI QIZI</v>
      </c>
      <c r="D135" s="35" t="str">
        <f ca="1">IFERROR(__xludf.DUMMYFUNCTION("""COMPUTED_VALUE"""),"Стажер кассир")</f>
        <v>Стажер кассир</v>
      </c>
    </row>
    <row r="136" spans="1:4" ht="18" customHeight="1" x14ac:dyDescent="0.25">
      <c r="A136" s="33" t="str">
        <f ca="1">IFERROR(__xludf.DUMMYFUNCTION("""COMPUTED_VALUE"""),"112. Compass Mall")</f>
        <v>112. Compass Mall</v>
      </c>
      <c r="B136" s="34">
        <f ca="1">IFERROR(__xludf.DUMMYFUNCTION("""COMPUTED_VALUE"""),38288)</f>
        <v>38288</v>
      </c>
      <c r="C136" s="35" t="str">
        <f ca="1">IFERROR(__xludf.DUMMYFUNCTION("""COMPUTED_VALUE"""),"TURSUNOV MUXAMMADALI BAXROM O'G'LI")</f>
        <v>TURSUNOV MUXAMMADALI BAXROM O'G'LI</v>
      </c>
      <c r="D136" s="35" t="str">
        <f ca="1">IFERROR(__xludf.DUMMYFUNCTION("""COMPUTED_VALUE"""),"Младший пиццерист")</f>
        <v>Младший пиццерист</v>
      </c>
    </row>
    <row r="137" spans="1:4" ht="18" customHeight="1" x14ac:dyDescent="0.25">
      <c r="A137" s="33" t="str">
        <f ca="1">IFERROR(__xludf.DUMMYFUNCTION("""COMPUTED_VALUE"""),"112. Compass Mall")</f>
        <v>112. Compass Mall</v>
      </c>
      <c r="B137" s="34">
        <f ca="1">IFERROR(__xludf.DUMMYFUNCTION("""COMPUTED_VALUE"""),38503)</f>
        <v>38503</v>
      </c>
      <c r="C137" s="35" t="str">
        <f ca="1">IFERROR(__xludf.DUMMYFUNCTION("""COMPUTED_VALUE"""),"BABADJONOV DIYORBEK DONIYOR O'G'LI")</f>
        <v>BABADJONOV DIYORBEK DONIYOR O'G'LI</v>
      </c>
      <c r="D137" s="35" t="str">
        <f ca="1">IFERROR(__xludf.DUMMYFUNCTION("""COMPUTED_VALUE"""),"Стажер повар WOK")</f>
        <v>Стажер повар WOK</v>
      </c>
    </row>
    <row r="138" spans="1:4" ht="18" customHeight="1" x14ac:dyDescent="0.25">
      <c r="A138" s="33" t="str">
        <f ca="1">IFERROR(__xludf.DUMMYFUNCTION("""COMPUTED_VALUE"""),"112. Compass Mall")</f>
        <v>112. Compass Mall</v>
      </c>
      <c r="B138" s="34">
        <f ca="1">IFERROR(__xludf.DUMMYFUNCTION("""COMPUTED_VALUE"""),39564)</f>
        <v>39564</v>
      </c>
      <c r="C138" s="35" t="str">
        <f ca="1">IFERROR(__xludf.DUMMYFUNCTION("""COMPUTED_VALUE"""),"XAMIDOV DAVRONBEK XAYRULLO O'G'LI")</f>
        <v>XAMIDOV DAVRONBEK XAYRULLO O'G'LI</v>
      </c>
      <c r="D138" s="35" t="str">
        <f ca="1">IFERROR(__xludf.DUMMYFUNCTION("""COMPUTED_VALUE"""),"Стажер повар WOK")</f>
        <v>Стажер повар WOK</v>
      </c>
    </row>
    <row r="139" spans="1:4" ht="18" customHeight="1" x14ac:dyDescent="0.25">
      <c r="A139" s="33" t="str">
        <f ca="1">IFERROR(__xludf.DUMMYFUNCTION("""COMPUTED_VALUE"""),"112. Compass Mall")</f>
        <v>112. Compass Mall</v>
      </c>
      <c r="B139" s="34">
        <f ca="1">IFERROR(__xludf.DUMMYFUNCTION("""COMPUTED_VALUE"""),38288)</f>
        <v>38288</v>
      </c>
      <c r="C139" s="35" t="str">
        <f ca="1">IFERROR(__xludf.DUMMYFUNCTION("""COMPUTED_VALUE"""),"TURSUNOV MUXAMMADALI BAXROM O'G'LI")</f>
        <v>TURSUNOV MUXAMMADALI BAXROM O'G'LI</v>
      </c>
      <c r="D139" s="35" t="str">
        <f ca="1">IFERROR(__xludf.DUMMYFUNCTION("""COMPUTED_VALUE"""),"Младший пиццерист")</f>
        <v>Младший пиццерист</v>
      </c>
    </row>
    <row r="140" spans="1:4" ht="18" customHeight="1" x14ac:dyDescent="0.25">
      <c r="A140" s="33" t="str">
        <f ca="1">IFERROR(__xludf.DUMMYFUNCTION("""COMPUTED_VALUE"""),"112. Compass Mall")</f>
        <v>112. Compass Mall</v>
      </c>
      <c r="B140" s="34">
        <f ca="1">IFERROR(__xludf.DUMMYFUNCTION("""COMPUTED_VALUE"""),36583)</f>
        <v>36583</v>
      </c>
      <c r="C140" s="35" t="str">
        <f ca="1">IFERROR(__xludf.DUMMYFUNCTION("""COMPUTED_VALUE"""),"TOLEGENOVA AIDA MUXTAR QIZI")</f>
        <v>TOLEGENOVA AIDA MUXTAR QIZI</v>
      </c>
      <c r="D140" s="35" t="str">
        <f ca="1">IFERROR(__xludf.DUMMYFUNCTION("""COMPUTED_VALUE"""),"Стажер повар WOK")</f>
        <v>Стажер повар WOK</v>
      </c>
    </row>
    <row r="141" spans="1:4" ht="18" customHeight="1" x14ac:dyDescent="0.25">
      <c r="A141" s="33" t="str">
        <f ca="1">IFERROR(__xludf.DUMMYFUNCTION("""COMPUTED_VALUE"""),"112. Compass Mall")</f>
        <v>112. Compass Mall</v>
      </c>
      <c r="B141" s="34">
        <f ca="1">IFERROR(__xludf.DUMMYFUNCTION("""COMPUTED_VALUE"""),36093)</f>
        <v>36093</v>
      </c>
      <c r="C141" s="35" t="str">
        <f ca="1">IFERROR(__xludf.DUMMYFUNCTION("""COMPUTED_VALUE"""),"BOZOROV FIRDAVS LAZIZ O'G'LI")</f>
        <v>BOZOROV FIRDAVS LAZIZ O'G'LI</v>
      </c>
      <c r="D141" s="35" t="str">
        <f ca="1">IFERROR(__xludf.DUMMYFUNCTION("""COMPUTED_VALUE"""),"Стажер повар WOK")</f>
        <v>Стажер повар WOK</v>
      </c>
    </row>
    <row r="142" spans="1:4" ht="18" customHeight="1" x14ac:dyDescent="0.25">
      <c r="A142" s="33" t="str">
        <f ca="1">IFERROR(__xludf.DUMMYFUNCTION("""COMPUTED_VALUE"""),"111. Новза")</f>
        <v>111. Новза</v>
      </c>
      <c r="B142" s="34">
        <f ca="1">IFERROR(__xludf.DUMMYFUNCTION("""COMPUTED_VALUE"""),34700)</f>
        <v>34700</v>
      </c>
      <c r="C142" s="35" t="str">
        <f ca="1">IFERROR(__xludf.DUMMYFUNCTION("""COMPUTED_VALUE"""),"ABDURAXMONOV RUFAT ABDURASHID O'G'LI")</f>
        <v>ABDURAXMONOV RUFAT ABDURASHID O'G'LI</v>
      </c>
      <c r="D142" s="35" t="str">
        <f ca="1">IFERROR(__xludf.DUMMYFUNCTION("""COMPUTED_VALUE"""),"Управляющий")</f>
        <v>Управляющий</v>
      </c>
    </row>
    <row r="143" spans="1:4" ht="18" customHeight="1" x14ac:dyDescent="0.25">
      <c r="A143" s="33" t="str">
        <f ca="1">IFERROR(__xludf.DUMMYFUNCTION("""COMPUTED_VALUE"""),"111. Новза")</f>
        <v>111. Новза</v>
      </c>
      <c r="B143" s="34">
        <f ca="1">IFERROR(__xludf.DUMMYFUNCTION("""COMPUTED_VALUE"""),37982)</f>
        <v>37982</v>
      </c>
      <c r="C143" s="35" t="str">
        <f ca="1">IFERROR(__xludf.DUMMYFUNCTION("""COMPUTED_VALUE"""),"BAXROMOV AVAZBEK OTABEK O'G'LI")</f>
        <v>BAXROMOV AVAZBEK OTABEK O'G'LI</v>
      </c>
      <c r="D143" s="35" t="str">
        <f ca="1">IFERROR(__xludf.DUMMYFUNCTION("""COMPUTED_VALUE"""),"Сменный менеджер")</f>
        <v>Сменный менеджер</v>
      </c>
    </row>
    <row r="144" spans="1:4" ht="18" customHeight="1" x14ac:dyDescent="0.25">
      <c r="A144" s="33" t="str">
        <f ca="1">IFERROR(__xludf.DUMMYFUNCTION("""COMPUTED_VALUE"""),"111. Новза")</f>
        <v>111. Новза</v>
      </c>
      <c r="B144" s="34">
        <f ca="1">IFERROR(__xludf.DUMMYFUNCTION("""COMPUTED_VALUE"""),36727)</f>
        <v>36727</v>
      </c>
      <c r="C144" s="35" t="str">
        <f ca="1">IFERROR(__xludf.DUMMYFUNCTION("""COMPUTED_VALUE"""),"XUDOYQULOV RAVSHAN ZAFAR O'G'LI")</f>
        <v>XUDOYQULOV RAVSHAN ZAFAR O'G'LI</v>
      </c>
      <c r="D144" s="35" t="str">
        <f ca="1">IFERROR(__xludf.DUMMYFUNCTION("""COMPUTED_VALUE"""),"Сменный менеджер")</f>
        <v>Сменный менеджер</v>
      </c>
    </row>
    <row r="145" spans="1:4" ht="18" customHeight="1" x14ac:dyDescent="0.25">
      <c r="A145" s="33" t="str">
        <f ca="1">IFERROR(__xludf.DUMMYFUNCTION("""COMPUTED_VALUE"""),"111. Новза")</f>
        <v>111. Новза</v>
      </c>
      <c r="B145" s="34">
        <f ca="1">IFERROR(__xludf.DUMMYFUNCTION("""COMPUTED_VALUE"""),37470)</f>
        <v>37470</v>
      </c>
      <c r="C145" s="35" t="str">
        <f ca="1">IFERROR(__xludf.DUMMYFUNCTION("""COMPUTED_VALUE"""),"NE'MATOV NAZIR NODIRJON O'G'LI")</f>
        <v>NE'MATOV NAZIR NODIRJON O'G'LI</v>
      </c>
      <c r="D145" s="35" t="str">
        <f ca="1">IFERROR(__xludf.DUMMYFUNCTION("""COMPUTED_VALUE"""),"Сменный менеджер")</f>
        <v>Сменный менеджер</v>
      </c>
    </row>
    <row r="146" spans="1:4" ht="18" customHeight="1" x14ac:dyDescent="0.25">
      <c r="A146" s="33" t="str">
        <f ca="1">IFERROR(__xludf.DUMMYFUNCTION("""COMPUTED_VALUE"""),"111. Новза")</f>
        <v>111. Новза</v>
      </c>
      <c r="B146" s="34">
        <f ca="1">IFERROR(__xludf.DUMMYFUNCTION("""COMPUTED_VALUE"""),37634)</f>
        <v>37634</v>
      </c>
      <c r="C146" s="35" t="str">
        <f ca="1">IFERROR(__xludf.DUMMYFUNCTION("""COMPUTED_VALUE"""),"HAMDAMOV AZIZBEK OBIDJON O'G'LI")</f>
        <v>HAMDAMOV AZIZBEK OBIDJON O'G'LI</v>
      </c>
      <c r="D146" s="35" t="str">
        <f ca="1">IFERROR(__xludf.DUMMYFUNCTION("""COMPUTED_VALUE"""),"Сменный менеджер")</f>
        <v>Сменный менеджер</v>
      </c>
    </row>
    <row r="147" spans="1:4" ht="18" customHeight="1" x14ac:dyDescent="0.25">
      <c r="A147" s="33" t="str">
        <f ca="1">IFERROR(__xludf.DUMMYFUNCTION("""COMPUTED_VALUE"""),"111. Новза")</f>
        <v>111. Новза</v>
      </c>
      <c r="B147" s="34">
        <f ca="1">IFERROR(__xludf.DUMMYFUNCTION("""COMPUTED_VALUE"""),34320)</f>
        <v>34320</v>
      </c>
      <c r="C147" s="35" t="str">
        <f ca="1">IFERROR(__xludf.DUMMYFUNCTION("""COMPUTED_VALUE"""),"ERGASHEV SARDOR ZOKIRJON O'G'LI")</f>
        <v>ERGASHEV SARDOR ZOKIRJON O'G'LI</v>
      </c>
      <c r="D147" s="35" t="str">
        <f ca="1">IFERROR(__xludf.DUMMYFUNCTION("""COMPUTED_VALUE"""),"Лидер производства WOK")</f>
        <v>Лидер производства WOK</v>
      </c>
    </row>
    <row r="148" spans="1:4" ht="18" customHeight="1" x14ac:dyDescent="0.25">
      <c r="A148" s="33" t="str">
        <f ca="1">IFERROR(__xludf.DUMMYFUNCTION("""COMPUTED_VALUE"""),"111. Новза")</f>
        <v>111. Новза</v>
      </c>
      <c r="B148" s="34">
        <f ca="1">IFERROR(__xludf.DUMMYFUNCTION("""COMPUTED_VALUE"""),38049)</f>
        <v>38049</v>
      </c>
      <c r="C148" s="35" t="str">
        <f ca="1">IFERROR(__xludf.DUMMYFUNCTION("""COMPUTED_VALUE"""),"BO'RIYEV OLMOSBEK XAYRULLA O'G'LI")</f>
        <v>BO'RIYEV OLMOSBEK XAYRULLA O'G'LI</v>
      </c>
      <c r="D148" s="35" t="str">
        <f ca="1">IFERROR(__xludf.DUMMYFUNCTION("""COMPUTED_VALUE"""),"Лидер производства WOK")</f>
        <v>Лидер производства WOK</v>
      </c>
    </row>
    <row r="149" spans="1:4" ht="18" customHeight="1" x14ac:dyDescent="0.25">
      <c r="A149" s="33" t="str">
        <f ca="1">IFERROR(__xludf.DUMMYFUNCTION("""COMPUTED_VALUE"""),"111. Новза")</f>
        <v>111. Новза</v>
      </c>
      <c r="B149" s="34">
        <f ca="1">IFERROR(__xludf.DUMMYFUNCTION("""COMPUTED_VALUE"""),38190)</f>
        <v>38190</v>
      </c>
      <c r="C149" s="35" t="str">
        <f ca="1">IFERROR(__xludf.DUMMYFUNCTION("""COMPUTED_VALUE"""),"SOBIRJONOVA MUKHLISA SOLI QIZI")</f>
        <v>SOBIRJONOVA MUKHLISA SOLI QIZI</v>
      </c>
      <c r="D149" s="35" t="str">
        <f ca="1">IFERROR(__xludf.DUMMYFUNCTION("""COMPUTED_VALUE"""),"Лидер обслуживания")</f>
        <v>Лидер обслуживания</v>
      </c>
    </row>
    <row r="150" spans="1:4" ht="18" customHeight="1" x14ac:dyDescent="0.25">
      <c r="A150" s="33" t="str">
        <f ca="1">IFERROR(__xludf.DUMMYFUNCTION("""COMPUTED_VALUE"""),"111. Новза")</f>
        <v>111. Новза</v>
      </c>
      <c r="B150" s="34">
        <f ca="1">IFERROR(__xludf.DUMMYFUNCTION("""COMPUTED_VALUE"""),38217)</f>
        <v>38217</v>
      </c>
      <c r="C150" s="35" t="str">
        <f ca="1">IFERROR(__xludf.DUMMYFUNCTION("""COMPUTED_VALUE"""),"USMONOV DILSHOD SHAVKAT O'G'LI")</f>
        <v>USMONOV DILSHOD SHAVKAT O'G'LI</v>
      </c>
      <c r="D150" s="35" t="str">
        <f ca="1">IFERROR(__xludf.DUMMYFUNCTION("""COMPUTED_VALUE"""),"Лидер производствa Street")</f>
        <v>Лидер производствa Street</v>
      </c>
    </row>
    <row r="151" spans="1:4" ht="18" customHeight="1" x14ac:dyDescent="0.25">
      <c r="A151" s="33" t="str">
        <f ca="1">IFERROR(__xludf.DUMMYFUNCTION("""COMPUTED_VALUE"""),"111. Новза")</f>
        <v>111. Новза</v>
      </c>
      <c r="B151" s="34">
        <f ca="1">IFERROR(__xludf.DUMMYFUNCTION("""COMPUTED_VALUE"""),38167)</f>
        <v>38167</v>
      </c>
      <c r="C151" s="35" t="str">
        <f ca="1">IFERROR(__xludf.DUMMYFUNCTION("""COMPUTED_VALUE"""),"MUXITDINOV DIYORBEK HUSNIDDIN O'G'LI")</f>
        <v>MUXITDINOV DIYORBEK HUSNIDDIN O'G'LI</v>
      </c>
      <c r="D151" s="35" t="str">
        <f ca="1">IFERROR(__xludf.DUMMYFUNCTION("""COMPUTED_VALUE"""),"Лидер производствa Street")</f>
        <v>Лидер производствa Street</v>
      </c>
    </row>
    <row r="152" spans="1:4" ht="18" customHeight="1" x14ac:dyDescent="0.25">
      <c r="A152" s="33" t="str">
        <f ca="1">IFERROR(__xludf.DUMMYFUNCTION("""COMPUTED_VALUE"""),"111. Новза")</f>
        <v>111. Новза</v>
      </c>
      <c r="B152" s="34">
        <f ca="1">IFERROR(__xludf.DUMMYFUNCTION("""COMPUTED_VALUE"""),35698)</f>
        <v>35698</v>
      </c>
      <c r="C152" s="35" t="str">
        <f ca="1">IFERROR(__xludf.DUMMYFUNCTION("""COMPUTED_VALUE"""),"ABDUVALIYEVA MUXLISA QUDRATILLA QIZI")</f>
        <v>ABDUVALIYEVA MUXLISA QUDRATILLA QIZI</v>
      </c>
      <c r="D152" s="35" t="str">
        <f ca="1">IFERROR(__xludf.DUMMYFUNCTION("""COMPUTED_VALUE"""),"Пиццерист")</f>
        <v>Пиццерист</v>
      </c>
    </row>
    <row r="153" spans="1:4" ht="18" customHeight="1" x14ac:dyDescent="0.25">
      <c r="A153" s="33" t="str">
        <f ca="1">IFERROR(__xludf.DUMMYFUNCTION("""COMPUTED_VALUE"""),"111. Новза")</f>
        <v>111. Новза</v>
      </c>
      <c r="B153" s="34">
        <f ca="1">IFERROR(__xludf.DUMMYFUNCTION("""COMPUTED_VALUE"""),36683)</f>
        <v>36683</v>
      </c>
      <c r="C153" s="35" t="str">
        <f ca="1">IFERROR(__xludf.DUMMYFUNCTION("""COMPUTED_VALUE"""),"ISKANDAROV FATXUDDIN FATTOH O'G'LI")</f>
        <v>ISKANDAROV FATXUDDIN FATTOH O'G'LI</v>
      </c>
      <c r="D153" s="35" t="str">
        <f ca="1">IFERROR(__xludf.DUMMYFUNCTION("""COMPUTED_VALUE"""),"Универсальный повар WOK")</f>
        <v>Универсальный повар WOK</v>
      </c>
    </row>
    <row r="154" spans="1:4" ht="18" customHeight="1" x14ac:dyDescent="0.25">
      <c r="A154" s="33" t="str">
        <f ca="1">IFERROR(__xludf.DUMMYFUNCTION("""COMPUTED_VALUE"""),"111. Новза")</f>
        <v>111. Новза</v>
      </c>
      <c r="B154" s="34">
        <f ca="1">IFERROR(__xludf.DUMMYFUNCTION("""COMPUTED_VALUE"""),37378)</f>
        <v>37378</v>
      </c>
      <c r="C154" s="35" t="str">
        <f ca="1">IFERROR(__xludf.DUMMYFUNCTION("""COMPUTED_VALUE"""),"ISTAMOVA SHAMSIYA TO'LQIN QIZI")</f>
        <v>ISTAMOVA SHAMSIYA TO'LQIN QIZI</v>
      </c>
      <c r="D154" s="35" t="str">
        <f ca="1">IFERROR(__xludf.DUMMYFUNCTION("""COMPUTED_VALUE"""),"Универсальный сотрудник Front line")</f>
        <v>Универсальный сотрудник Front line</v>
      </c>
    </row>
    <row r="155" spans="1:4" ht="18" customHeight="1" x14ac:dyDescent="0.25">
      <c r="A155" s="33" t="str">
        <f ca="1">IFERROR(__xludf.DUMMYFUNCTION("""COMPUTED_VALUE"""),"111. Новза")</f>
        <v>111. Новза</v>
      </c>
      <c r="B155" s="34">
        <f ca="1">IFERROR(__xludf.DUMMYFUNCTION("""COMPUTED_VALUE"""),38487)</f>
        <v>38487</v>
      </c>
      <c r="C155" s="35" t="str">
        <f ca="1">IFERROR(__xludf.DUMMYFUNCTION("""COMPUTED_VALUE"""),"NASRIDDINOVA MARJONA URAL QIZI")</f>
        <v>NASRIDDINOVA MARJONA URAL QIZI</v>
      </c>
      <c r="D155" s="35" t="str">
        <f ca="1">IFERROR(__xludf.DUMMYFUNCTION("""COMPUTED_VALUE"""),"Пиццерист")</f>
        <v>Пиццерист</v>
      </c>
    </row>
    <row r="156" spans="1:4" ht="18" customHeight="1" x14ac:dyDescent="0.25">
      <c r="A156" s="33" t="str">
        <f ca="1">IFERROR(__xludf.DUMMYFUNCTION("""COMPUTED_VALUE"""),"111. Новза")</f>
        <v>111. Новза</v>
      </c>
      <c r="B156" s="34">
        <f ca="1">IFERROR(__xludf.DUMMYFUNCTION("""COMPUTED_VALUE"""),33419)</f>
        <v>33419</v>
      </c>
      <c r="C156" s="35" t="str">
        <f ca="1">IFERROR(__xludf.DUMMYFUNCTION("""COMPUTED_VALUE"""),"ALIBOYEVA NAFISA TO'G'ANALIYEVNA")</f>
        <v>ALIBOYEVA NAFISA TO'G'ANALIYEVNA</v>
      </c>
      <c r="D156" s="35" t="str">
        <f ca="1">IFERROR(__xludf.DUMMYFUNCTION("""COMPUTED_VALUE"""),"Пиццерист")</f>
        <v>Пиццерист</v>
      </c>
    </row>
    <row r="157" spans="1:4" ht="18" customHeight="1" x14ac:dyDescent="0.25">
      <c r="A157" s="33" t="str">
        <f ca="1">IFERROR(__xludf.DUMMYFUNCTION("""COMPUTED_VALUE"""),"111. Новза")</f>
        <v>111. Новза</v>
      </c>
      <c r="B157" s="34">
        <f ca="1">IFERROR(__xludf.DUMMYFUNCTION("""COMPUTED_VALUE"""),25306)</f>
        <v>25306</v>
      </c>
      <c r="C157" s="35" t="str">
        <f ca="1">IFERROR(__xludf.DUMMYFUNCTION("""COMPUTED_VALUE"""),"NURMATOVA MUXABBAT XUDAYBERGANOVNA")</f>
        <v>NURMATOVA MUXABBAT XUDAYBERGANOVNA</v>
      </c>
      <c r="D157" s="35" t="str">
        <f ca="1">IFERROR(__xludf.DUMMYFUNCTION("""COMPUTED_VALUE"""),"Старший рабочий кухни (Техничка, мойка)")</f>
        <v>Старший рабочий кухни (Техничка, мойка)</v>
      </c>
    </row>
    <row r="158" spans="1:4" ht="18" customHeight="1" x14ac:dyDescent="0.25">
      <c r="A158" s="33" t="str">
        <f ca="1">IFERROR(__xludf.DUMMYFUNCTION("""COMPUTED_VALUE"""),"111. Новза")</f>
        <v>111. Новза</v>
      </c>
      <c r="B158" s="34">
        <f ca="1">IFERROR(__xludf.DUMMYFUNCTION("""COMPUTED_VALUE"""),32037)</f>
        <v>32037</v>
      </c>
      <c r="C158" s="35" t="str">
        <f ca="1">IFERROR(__xludf.DUMMYFUNCTION("""COMPUTED_VALUE"""),"PIRMATOVA IRODA ABDAZIZOVNA")</f>
        <v>PIRMATOVA IRODA ABDAZIZOVNA</v>
      </c>
      <c r="D158" s="35" t="str">
        <f ca="1">IFERROR(__xludf.DUMMYFUNCTION("""COMPUTED_VALUE"""),"Универсальный повар Street")</f>
        <v>Универсальный повар Street</v>
      </c>
    </row>
    <row r="159" spans="1:4" ht="18" customHeight="1" x14ac:dyDescent="0.25">
      <c r="A159" s="33" t="str">
        <f ca="1">IFERROR(__xludf.DUMMYFUNCTION("""COMPUTED_VALUE"""),"111. Новза")</f>
        <v>111. Новза</v>
      </c>
      <c r="B159" s="34">
        <f ca="1">IFERROR(__xludf.DUMMYFUNCTION("""COMPUTED_VALUE"""),38731)</f>
        <v>38731</v>
      </c>
      <c r="C159" s="35" t="str">
        <f ca="1">IFERROR(__xludf.DUMMYFUNCTION("""COMPUTED_VALUE"""),"TURDIQULOV XONGREN SHARAFJON O'G'LI")</f>
        <v>TURDIQULOV XONGREN SHARAFJON O'G'LI</v>
      </c>
      <c r="D159" s="35" t="str">
        <f ca="1">IFERROR(__xludf.DUMMYFUNCTION("""COMPUTED_VALUE"""),"Лидер производства WOK")</f>
        <v>Лидер производства WOK</v>
      </c>
    </row>
    <row r="160" spans="1:4" ht="18" customHeight="1" x14ac:dyDescent="0.25">
      <c r="A160" s="33" t="str">
        <f ca="1">IFERROR(__xludf.DUMMYFUNCTION("""COMPUTED_VALUE"""),"111. Новза")</f>
        <v>111. Новза</v>
      </c>
      <c r="B160" s="34">
        <f ca="1">IFERROR(__xludf.DUMMYFUNCTION("""COMPUTED_VALUE"""),38533)</f>
        <v>38533</v>
      </c>
      <c r="C160" s="35" t="str">
        <f ca="1">IFERROR(__xludf.DUMMYFUNCTION("""COMPUTED_VALUE"""),"YUSUPOV SARDOR AKMAL O'G'LI")</f>
        <v>YUSUPOV SARDOR AKMAL O'G'LI</v>
      </c>
      <c r="D160" s="35" t="str">
        <f ca="1">IFERROR(__xludf.DUMMYFUNCTION("""COMPUTED_VALUE"""),"Универсальный повар WOK")</f>
        <v>Универсальный повар WOK</v>
      </c>
    </row>
    <row r="161" spans="1:4" ht="18" customHeight="1" x14ac:dyDescent="0.25">
      <c r="A161" s="33" t="str">
        <f ca="1">IFERROR(__xludf.DUMMYFUNCTION("""COMPUTED_VALUE"""),"111. Новза")</f>
        <v>111. Новза</v>
      </c>
      <c r="B161" s="34">
        <f ca="1">IFERROR(__xludf.DUMMYFUNCTION("""COMPUTED_VALUE"""),37821)</f>
        <v>37821</v>
      </c>
      <c r="C161" s="35" t="str">
        <f ca="1">IFERROR(__xludf.DUMMYFUNCTION("""COMPUTED_VALUE"""),"AMANBAYEV BOBURBEK ALISHER O'G'LI")</f>
        <v>AMANBAYEV BOBURBEK ALISHER O'G'LI</v>
      </c>
      <c r="D161" s="35" t="str">
        <f ca="1">IFERROR(__xludf.DUMMYFUNCTION("""COMPUTED_VALUE"""),"Универсальный сотрудник Front line")</f>
        <v>Универсальный сотрудник Front line</v>
      </c>
    </row>
    <row r="162" spans="1:4" ht="18" customHeight="1" x14ac:dyDescent="0.25">
      <c r="A162" s="33" t="str">
        <f ca="1">IFERROR(__xludf.DUMMYFUNCTION("""COMPUTED_VALUE"""),"111. Новза")</f>
        <v>111. Новза</v>
      </c>
      <c r="B162" s="34">
        <f ca="1">IFERROR(__xludf.DUMMYFUNCTION("""COMPUTED_VALUE"""),39074)</f>
        <v>39074</v>
      </c>
      <c r="C162" s="35" t="str">
        <f ca="1">IFERROR(__xludf.DUMMYFUNCTION("""COMPUTED_VALUE"""),"BOBONAZAROV SAMANDAR ABDUSALOM O'G'LI")</f>
        <v>BOBONAZAROV SAMANDAR ABDUSALOM O'G'LI</v>
      </c>
      <c r="D162" s="35" t="str">
        <f ca="1">IFERROR(__xludf.DUMMYFUNCTION("""COMPUTED_VALUE"""),"Лидер производствa Street")</f>
        <v>Лидер производствa Street</v>
      </c>
    </row>
    <row r="163" spans="1:4" ht="18" customHeight="1" x14ac:dyDescent="0.25">
      <c r="A163" s="33" t="str">
        <f ca="1">IFERROR(__xludf.DUMMYFUNCTION("""COMPUTED_VALUE"""),"111. Новза")</f>
        <v>111. Новза</v>
      </c>
      <c r="B163" s="34">
        <f ca="1">IFERROR(__xludf.DUMMYFUNCTION("""COMPUTED_VALUE"""),36558)</f>
        <v>36558</v>
      </c>
      <c r="C163" s="35" t="str">
        <f ca="1">IFERROR(__xludf.DUMMYFUNCTION("""COMPUTED_VALUE"""),"NURIDDINOV AHROR ZAYNOBIDDIN O'G'LI")</f>
        <v>NURIDDINOV AHROR ZAYNOBIDDIN O'G'LI</v>
      </c>
      <c r="D163" s="35" t="str">
        <f ca="1">IFERROR(__xludf.DUMMYFUNCTION("""COMPUTED_VALUE"""),"Универсальный повар WOK")</f>
        <v>Универсальный повар WOK</v>
      </c>
    </row>
    <row r="164" spans="1:4" ht="18" customHeight="1" x14ac:dyDescent="0.25">
      <c r="A164" s="33" t="str">
        <f ca="1">IFERROR(__xludf.DUMMYFUNCTION("""COMPUTED_VALUE"""),"111. Новза")</f>
        <v>111. Новза</v>
      </c>
      <c r="B164" s="34">
        <f ca="1">IFERROR(__xludf.DUMMYFUNCTION("""COMPUTED_VALUE"""),34519)</f>
        <v>34519</v>
      </c>
      <c r="C164" s="35" t="str">
        <f ca="1">IFERROR(__xludf.DUMMYFUNCTION("""COMPUTED_VALUE"""),"ALLAMURODOV OYBEK G'AYRAT O'G'LI")</f>
        <v>ALLAMURODOV OYBEK G'AYRAT O'G'LI</v>
      </c>
      <c r="D164" s="35" t="str">
        <f ca="1">IFERROR(__xludf.DUMMYFUNCTION("""COMPUTED_VALUE"""),"Универсальный повар WOK")</f>
        <v>Универсальный повар WOK</v>
      </c>
    </row>
    <row r="165" spans="1:4" ht="18" customHeight="1" x14ac:dyDescent="0.25">
      <c r="A165" s="33" t="str">
        <f ca="1">IFERROR(__xludf.DUMMYFUNCTION("""COMPUTED_VALUE"""),"111. Новза")</f>
        <v>111. Новза</v>
      </c>
      <c r="B165" s="34">
        <f ca="1">IFERROR(__xludf.DUMMYFUNCTION("""COMPUTED_VALUE"""),38526)</f>
        <v>38526</v>
      </c>
      <c r="C165" s="35" t="str">
        <f ca="1">IFERROR(__xludf.DUMMYFUNCTION("""COMPUTED_VALUE"""),"XURSANOVA AZIZA AZIZJON QIZI")</f>
        <v>XURSANOVA AZIZA AZIZJON QIZI</v>
      </c>
      <c r="D165" s="35" t="str">
        <f ca="1">IFERROR(__xludf.DUMMYFUNCTION("""COMPUTED_VALUE"""),"Универсальный сотрудник Front line")</f>
        <v>Универсальный сотрудник Front line</v>
      </c>
    </row>
    <row r="166" spans="1:4" ht="18" customHeight="1" x14ac:dyDescent="0.25">
      <c r="A166" s="33" t="str">
        <f ca="1">IFERROR(__xludf.DUMMYFUNCTION("""COMPUTED_VALUE"""),"111. Новза")</f>
        <v>111. Новза</v>
      </c>
      <c r="B166" s="34">
        <f ca="1">IFERROR(__xludf.DUMMYFUNCTION("""COMPUTED_VALUE"""),38933)</f>
        <v>38933</v>
      </c>
      <c r="C166" s="36" t="str">
        <f ca="1">IFERROR(__xludf.DUMMYFUNCTION("""COMPUTED_VALUE"""),"ABDULLAYEVA NODIRA SHUXRAT QIZI")</f>
        <v>ABDULLAYEVA NODIRA SHUXRAT QIZI</v>
      </c>
      <c r="D166" s="35" t="str">
        <f ca="1">IFERROR(__xludf.DUMMYFUNCTION("""COMPUTED_VALUE"""),"Универсальный повар Street")</f>
        <v>Универсальный повар Street</v>
      </c>
    </row>
    <row r="167" spans="1:4" ht="18" customHeight="1" x14ac:dyDescent="0.25">
      <c r="A167" s="33" t="str">
        <f ca="1">IFERROR(__xludf.DUMMYFUNCTION("""COMPUTED_VALUE"""),"111. Новза")</f>
        <v>111. Новза</v>
      </c>
      <c r="B167" s="34">
        <f ca="1">IFERROR(__xludf.DUMMYFUNCTION("""COMPUTED_VALUE"""),39266)</f>
        <v>39266</v>
      </c>
      <c r="C167" s="35" t="str">
        <f ca="1">IFERROR(__xludf.DUMMYFUNCTION("""COMPUTED_VALUE"""),"SHERZODOVA SHAHLOBONU SHERZOD QIZI")</f>
        <v>SHERZODOVA SHAHLOBONU SHERZOD QIZI</v>
      </c>
      <c r="D167" s="35" t="str">
        <f ca="1">IFERROR(__xludf.DUMMYFUNCTION("""COMPUTED_VALUE"""),"Универсальный сотрудник Front line")</f>
        <v>Универсальный сотрудник Front line</v>
      </c>
    </row>
    <row r="168" spans="1:4" ht="18" customHeight="1" x14ac:dyDescent="0.25">
      <c r="A168" s="33" t="str">
        <f ca="1">IFERROR(__xludf.DUMMYFUNCTION("""COMPUTED_VALUE"""),"111. Новза")</f>
        <v>111. Новза</v>
      </c>
      <c r="B168" s="34">
        <f ca="1">IFERROR(__xludf.DUMMYFUNCTION("""COMPUTED_VALUE"""),39097)</f>
        <v>39097</v>
      </c>
      <c r="C168" s="35" t="str">
        <f ca="1">IFERROR(__xludf.DUMMYFUNCTION("""COMPUTED_VALUE"""),"XURSANOV SHOXRUX AZIZJON O'G'LI")</f>
        <v>XURSANOV SHOXRUX AZIZJON O'G'LI</v>
      </c>
      <c r="D168" s="35" t="str">
        <f ca="1">IFERROR(__xludf.DUMMYFUNCTION("""COMPUTED_VALUE"""),"Универсальный сотрудник Front line")</f>
        <v>Универсальный сотрудник Front line</v>
      </c>
    </row>
    <row r="169" spans="1:4" ht="18" customHeight="1" x14ac:dyDescent="0.25">
      <c r="A169" s="33" t="str">
        <f ca="1">IFERROR(__xludf.DUMMYFUNCTION("""COMPUTED_VALUE"""),"111. Новза")</f>
        <v>111. Новза</v>
      </c>
      <c r="B169" s="34">
        <f ca="1">IFERROR(__xludf.DUMMYFUNCTION("""COMPUTED_VALUE"""),38553)</f>
        <v>38553</v>
      </c>
      <c r="C169" s="35" t="str">
        <f ca="1">IFERROR(__xludf.DUMMYFUNCTION("""COMPUTED_VALUE"""),"RAHMATOVA GULASAL AHMAD QIZI")</f>
        <v>RAHMATOVA GULASAL AHMAD QIZI</v>
      </c>
      <c r="D169" s="35" t="str">
        <f ca="1">IFERROR(__xludf.DUMMYFUNCTION("""COMPUTED_VALUE"""),"Универсальный повар Street")</f>
        <v>Универсальный повар Street</v>
      </c>
    </row>
    <row r="170" spans="1:4" ht="18" customHeight="1" x14ac:dyDescent="0.25">
      <c r="A170" s="33" t="str">
        <f ca="1">IFERROR(__xludf.DUMMYFUNCTION("""COMPUTED_VALUE"""),"111. Новза")</f>
        <v>111. Новза</v>
      </c>
      <c r="B170" s="34">
        <f ca="1">IFERROR(__xludf.DUMMYFUNCTION("""COMPUTED_VALUE"""),39432)</f>
        <v>39432</v>
      </c>
      <c r="C170" s="35" t="str">
        <f ca="1">IFERROR(__xludf.DUMMYFUNCTION("""COMPUTED_VALUE"""),"KOMILJONOV ABDUKARIM OLIMJON O'G'LI")</f>
        <v>KOMILJONOV ABDUKARIM OLIMJON O'G'LI</v>
      </c>
      <c r="D170" s="35" t="str">
        <f ca="1">IFERROR(__xludf.DUMMYFUNCTION("""COMPUTED_VALUE"""),"Старший повар Wok")</f>
        <v>Старший повар Wok</v>
      </c>
    </row>
    <row r="171" spans="1:4" ht="18" customHeight="1" x14ac:dyDescent="0.25">
      <c r="A171" s="33" t="str">
        <f ca="1">IFERROR(__xludf.DUMMYFUNCTION("""COMPUTED_VALUE"""),"111. Новза")</f>
        <v>111. Новза</v>
      </c>
      <c r="B171" s="34">
        <f ca="1">IFERROR(__xludf.DUMMYFUNCTION("""COMPUTED_VALUE"""),36961)</f>
        <v>36961</v>
      </c>
      <c r="C171" s="35" t="str">
        <f ca="1">IFERROR(__xludf.DUMMYFUNCTION("""COMPUTED_VALUE"""),"BOBOJONOV DIYORBEK BAXODIR O'G'LI")</f>
        <v>BOBOJONOV DIYORBEK BAXODIR O'G'LI</v>
      </c>
      <c r="D171" s="35" t="str">
        <f ca="1">IFERROR(__xludf.DUMMYFUNCTION("""COMPUTED_VALUE"""),"Старший повар Wok")</f>
        <v>Старший повар Wok</v>
      </c>
    </row>
    <row r="172" spans="1:4" ht="18" customHeight="1" x14ac:dyDescent="0.25">
      <c r="A172" s="33" t="str">
        <f ca="1">IFERROR(__xludf.DUMMYFUNCTION("""COMPUTED_VALUE"""),"111. Новза")</f>
        <v>111. Новза</v>
      </c>
      <c r="B172" s="34">
        <f ca="1">IFERROR(__xludf.DUMMYFUNCTION("""COMPUTED_VALUE"""),39055)</f>
        <v>39055</v>
      </c>
      <c r="C172" s="35" t="str">
        <f ca="1">IFERROR(__xludf.DUMMYFUNCTION("""COMPUTED_VALUE"""),"NARZULLAYEV SOBIR NODIRJONOVICH")</f>
        <v>NARZULLAYEV SOBIR NODIRJONOVICH</v>
      </c>
      <c r="D172" s="35" t="str">
        <f ca="1">IFERROR(__xludf.DUMMYFUNCTION("""COMPUTED_VALUE"""),"Старший повар Wok")</f>
        <v>Старший повар Wok</v>
      </c>
    </row>
    <row r="173" spans="1:4" ht="18" customHeight="1" x14ac:dyDescent="0.25">
      <c r="A173" s="33" t="str">
        <f ca="1">IFERROR(__xludf.DUMMYFUNCTION("""COMPUTED_VALUE"""),"111. Новза")</f>
        <v>111. Новза</v>
      </c>
      <c r="B173" s="34">
        <f ca="1">IFERROR(__xludf.DUMMYFUNCTION("""COMPUTED_VALUE"""),37761)</f>
        <v>37761</v>
      </c>
      <c r="C173" s="35" t="str">
        <f ca="1">IFERROR(__xludf.DUMMYFUNCTION("""COMPUTED_VALUE"""),"YORBOYEV KOMILJON G'AYRAT O'G'LI")</f>
        <v>YORBOYEV KOMILJON G'AYRAT O'G'LI</v>
      </c>
      <c r="D173" s="35" t="str">
        <f ca="1">IFERROR(__xludf.DUMMYFUNCTION("""COMPUTED_VALUE"""),"Универсальный повар Street")</f>
        <v>Универсальный повар Street</v>
      </c>
    </row>
    <row r="174" spans="1:4" ht="18" customHeight="1" x14ac:dyDescent="0.25">
      <c r="A174" s="33" t="str">
        <f ca="1">IFERROR(__xludf.DUMMYFUNCTION("""COMPUTED_VALUE"""),"111. Новза")</f>
        <v>111. Новза</v>
      </c>
      <c r="B174" s="34">
        <f ca="1">IFERROR(__xludf.DUMMYFUNCTION("""COMPUTED_VALUE"""),38172)</f>
        <v>38172</v>
      </c>
      <c r="C174" s="35" t="str">
        <f ca="1">IFERROR(__xludf.DUMMYFUNCTION("""COMPUTED_VALUE"""),"JANQOBILOV JAVOHIR DILMUROD O'G'LI")</f>
        <v>JANQOBILOV JAVOHIR DILMUROD O'G'LI</v>
      </c>
      <c r="D174" s="35" t="str">
        <f ca="1">IFERROR(__xludf.DUMMYFUNCTION("""COMPUTED_VALUE"""),"Универсальный сотрудник Front line")</f>
        <v>Универсальный сотрудник Front line</v>
      </c>
    </row>
    <row r="175" spans="1:4" ht="18" customHeight="1" x14ac:dyDescent="0.25">
      <c r="A175" s="33" t="str">
        <f ca="1">IFERROR(__xludf.DUMMYFUNCTION("""COMPUTED_VALUE"""),"111. Новза")</f>
        <v>111. Новза</v>
      </c>
      <c r="B175" s="34">
        <f ca="1">IFERROR(__xludf.DUMMYFUNCTION("""COMPUTED_VALUE"""),38482)</f>
        <v>38482</v>
      </c>
      <c r="C175" s="35" t="str">
        <f ca="1">IFERROR(__xludf.DUMMYFUNCTION("""COMPUTED_VALUE"""),"SAVRIYEVA ZUMRAD ALOYDIN QIZI")</f>
        <v>SAVRIYEVA ZUMRAD ALOYDIN QIZI</v>
      </c>
      <c r="D175" s="35" t="str">
        <f ca="1">IFERROR(__xludf.DUMMYFUNCTION("""COMPUTED_VALUE"""),"Повар Street")</f>
        <v>Повар Street</v>
      </c>
    </row>
    <row r="176" spans="1:4" ht="18" customHeight="1" x14ac:dyDescent="0.25">
      <c r="A176" s="33" t="str">
        <f ca="1">IFERROR(__xludf.DUMMYFUNCTION("""COMPUTED_VALUE"""),"111. Новза")</f>
        <v>111. Новза</v>
      </c>
      <c r="B176" s="34">
        <f ca="1">IFERROR(__xludf.DUMMYFUNCTION("""COMPUTED_VALUE"""),38168)</f>
        <v>38168</v>
      </c>
      <c r="C176" s="35" t="str">
        <f ca="1">IFERROR(__xludf.DUMMYFUNCTION("""COMPUTED_VALUE"""),"MAHMUDJONOVA ZAYNAB AKROMJON QIZI")</f>
        <v>MAHMUDJONOVA ZAYNAB AKROMJON QIZI</v>
      </c>
      <c r="D176" s="35" t="str">
        <f ca="1">IFERROR(__xludf.DUMMYFUNCTION("""COMPUTED_VALUE"""),"Старший рабочий кухни (Техничка, мойка)")</f>
        <v>Старший рабочий кухни (Техничка, мойка)</v>
      </c>
    </row>
    <row r="177" spans="1:4" ht="18" customHeight="1" x14ac:dyDescent="0.25">
      <c r="A177" s="33" t="str">
        <f ca="1">IFERROR(__xludf.DUMMYFUNCTION("""COMPUTED_VALUE"""),"111. Новза")</f>
        <v>111. Новза</v>
      </c>
      <c r="B177" s="34">
        <f ca="1">IFERROR(__xludf.DUMMYFUNCTION("""COMPUTED_VALUE"""),38822)</f>
        <v>38822</v>
      </c>
      <c r="C177" s="35" t="str">
        <f ca="1">IFERROR(__xludf.DUMMYFUNCTION("""COMPUTED_VALUE"""),"ABDUG'ANIYEVA KAMOLAXON BAHROMJON QIZI")</f>
        <v>ABDUG'ANIYEVA KAMOLAXON BAHROMJON QIZI</v>
      </c>
      <c r="D177" s="35" t="str">
        <f ca="1">IFERROR(__xludf.DUMMYFUNCTION("""COMPUTED_VALUE"""),"Сотрудник первой линии")</f>
        <v>Сотрудник первой линии</v>
      </c>
    </row>
    <row r="178" spans="1:4" ht="18" customHeight="1" x14ac:dyDescent="0.25">
      <c r="A178" s="33" t="str">
        <f ca="1">IFERROR(__xludf.DUMMYFUNCTION("""COMPUTED_VALUE"""),"111. Новза")</f>
        <v>111. Новза</v>
      </c>
      <c r="B178" s="34">
        <f ca="1">IFERROR(__xludf.DUMMYFUNCTION("""COMPUTED_VALUE"""),39321)</f>
        <v>39321</v>
      </c>
      <c r="C178" s="35" t="str">
        <f ca="1">IFERROR(__xludf.DUMMYFUNCTION("""COMPUTED_VALUE"""),"SOIBNAZAROV DIYORBEK RO'ZIBOY O'G'LI")</f>
        <v>SOIBNAZAROV DIYORBEK RO'ZIBOY O'G'LI</v>
      </c>
      <c r="D178" s="35" t="str">
        <f ca="1">IFERROR(__xludf.DUMMYFUNCTION("""COMPUTED_VALUE"""),"Пиццерист")</f>
        <v>Пиццерист</v>
      </c>
    </row>
    <row r="179" spans="1:4" ht="18" customHeight="1" x14ac:dyDescent="0.25">
      <c r="A179" s="33" t="str">
        <f ca="1">IFERROR(__xludf.DUMMYFUNCTION("""COMPUTED_VALUE"""),"111. Новза")</f>
        <v>111. Новза</v>
      </c>
      <c r="B179" s="34">
        <f ca="1">IFERROR(__xludf.DUMMYFUNCTION("""COMPUTED_VALUE"""),37999)</f>
        <v>37999</v>
      </c>
      <c r="C179" s="35" t="str">
        <f ca="1">IFERROR(__xludf.DUMMYFUNCTION("""COMPUTED_VALUE"""),"JUMAYEV YANGIBOY ABDUXOMIDOVICH")</f>
        <v>JUMAYEV YANGIBOY ABDUXOMIDOVICH</v>
      </c>
      <c r="D179" s="35" t="str">
        <f ca="1">IFERROR(__xludf.DUMMYFUNCTION("""COMPUTED_VALUE"""),"Универсальный повар WOK")</f>
        <v>Универсальный повар WOK</v>
      </c>
    </row>
    <row r="180" spans="1:4" ht="18" customHeight="1" x14ac:dyDescent="0.25">
      <c r="A180" s="33" t="str">
        <f ca="1">IFERROR(__xludf.DUMMYFUNCTION("""COMPUTED_VALUE"""),"111. Новза")</f>
        <v>111. Новза</v>
      </c>
      <c r="B180" s="34">
        <f ca="1">IFERROR(__xludf.DUMMYFUNCTION("""COMPUTED_VALUE"""),37316)</f>
        <v>37316</v>
      </c>
      <c r="C180" s="35" t="str">
        <f ca="1">IFERROR(__xludf.DUMMYFUNCTION("""COMPUTED_VALUE"""),"ISROFILOVA DILAFRUZ OLIMJON QIZI")</f>
        <v>ISROFILOVA DILAFRUZ OLIMJON QIZI</v>
      </c>
      <c r="D180" s="35" t="str">
        <f ca="1">IFERROR(__xludf.DUMMYFUNCTION("""COMPUTED_VALUE"""),"Универсальный сотрудник Front line")</f>
        <v>Универсальный сотрудник Front line</v>
      </c>
    </row>
    <row r="181" spans="1:4" ht="18" customHeight="1" x14ac:dyDescent="0.25">
      <c r="A181" s="33" t="str">
        <f ca="1">IFERROR(__xludf.DUMMYFUNCTION("""COMPUTED_VALUE"""),"111. Новза")</f>
        <v>111. Новза</v>
      </c>
      <c r="B181" s="34">
        <f ca="1">IFERROR(__xludf.DUMMYFUNCTION("""COMPUTED_VALUE"""),38488)</f>
        <v>38488</v>
      </c>
      <c r="C181" s="35" t="str">
        <f ca="1">IFERROR(__xludf.DUMMYFUNCTION("""COMPUTED_VALUE"""),"NAMOZOVA MARJONA O'KTAM QIZI")</f>
        <v>NAMOZOVA MARJONA O'KTAM QIZI</v>
      </c>
      <c r="D181" s="35" t="str">
        <f ca="1">IFERROR(__xludf.DUMMYFUNCTION("""COMPUTED_VALUE"""),"Пиццерист")</f>
        <v>Пиццерист</v>
      </c>
    </row>
    <row r="182" spans="1:4" ht="18" customHeight="1" x14ac:dyDescent="0.25">
      <c r="A182" s="33" t="str">
        <f ca="1">IFERROR(__xludf.DUMMYFUNCTION("""COMPUTED_VALUE"""),"111. Новза")</f>
        <v>111. Новза</v>
      </c>
      <c r="B182" s="34">
        <f ca="1">IFERROR(__xludf.DUMMYFUNCTION("""COMPUTED_VALUE"""),39328)</f>
        <v>39328</v>
      </c>
      <c r="C182" s="35" t="str">
        <f ca="1">IFERROR(__xludf.DUMMYFUNCTION("""COMPUTED_VALUE"""),"KADIRKULOV OMADBEK YAKUB O'G'LI")</f>
        <v>KADIRKULOV OMADBEK YAKUB O'G'LI</v>
      </c>
      <c r="D182" s="35" t="str">
        <f ca="1">IFERROR(__xludf.DUMMYFUNCTION("""COMPUTED_VALUE"""),"Пиццерист")</f>
        <v>Пиццерист</v>
      </c>
    </row>
    <row r="183" spans="1:4" ht="18" customHeight="1" x14ac:dyDescent="0.25">
      <c r="A183" s="33" t="str">
        <f ca="1">IFERROR(__xludf.DUMMYFUNCTION("""COMPUTED_VALUE"""),"111. Новза")</f>
        <v>111. Новза</v>
      </c>
      <c r="B183" s="34">
        <f ca="1">IFERROR(__xludf.DUMMYFUNCTION("""COMPUTED_VALUE"""),38135)</f>
        <v>38135</v>
      </c>
      <c r="C183" s="35" t="str">
        <f ca="1">IFERROR(__xludf.DUMMYFUNCTION("""COMPUTED_VALUE"""),"NISHONBOYEV OG'ABEK ULUG'BEK O'G'LI")</f>
        <v>NISHONBOYEV OG'ABEK ULUG'BEK O'G'LI</v>
      </c>
      <c r="D183" s="35" t="str">
        <f ca="1">IFERROR(__xludf.DUMMYFUNCTION("""COMPUTED_VALUE"""),"Старший повар Wok")</f>
        <v>Старший повар Wok</v>
      </c>
    </row>
    <row r="184" spans="1:4" ht="18" customHeight="1" x14ac:dyDescent="0.25">
      <c r="A184" s="33" t="str">
        <f ca="1">IFERROR(__xludf.DUMMYFUNCTION("""COMPUTED_VALUE"""),"111. Новза")</f>
        <v>111. Новза</v>
      </c>
      <c r="B184" s="34">
        <f ca="1">IFERROR(__xludf.DUMMYFUNCTION("""COMPUTED_VALUE"""),38589)</f>
        <v>38589</v>
      </c>
      <c r="C184" s="35" t="str">
        <f ca="1">IFERROR(__xludf.DUMMYFUNCTION("""COMPUTED_VALUE"""),"SAODATOVA SABRINA QAYUM QIZI")</f>
        <v>SAODATOVA SABRINA QAYUM QIZI</v>
      </c>
      <c r="D184" s="35" t="str">
        <f ca="1">IFERROR(__xludf.DUMMYFUNCTION("""COMPUTED_VALUE"""),"Повар Street")</f>
        <v>Повар Street</v>
      </c>
    </row>
    <row r="185" spans="1:4" ht="18" customHeight="1" x14ac:dyDescent="0.25">
      <c r="A185" s="33" t="str">
        <f ca="1">IFERROR(__xludf.DUMMYFUNCTION("""COMPUTED_VALUE"""),"111. Новза")</f>
        <v>111. Новза</v>
      </c>
      <c r="B185" s="34">
        <f ca="1">IFERROR(__xludf.DUMMYFUNCTION("""COMPUTED_VALUE"""),38315)</f>
        <v>38315</v>
      </c>
      <c r="C185" s="35" t="str">
        <f ca="1">IFERROR(__xludf.DUMMYFUNCTION("""COMPUTED_VALUE"""),"CHORSHANBIYEV JAMSHID XOLRO'RA O'G'LI")</f>
        <v>CHORSHANBIYEV JAMSHID XOLRO'RA O'G'LI</v>
      </c>
      <c r="D185" s="35" t="str">
        <f ca="1">IFERROR(__xludf.DUMMYFUNCTION("""COMPUTED_VALUE"""),"Старший повар Wok")</f>
        <v>Старший повар Wok</v>
      </c>
    </row>
    <row r="186" spans="1:4" ht="18" customHeight="1" x14ac:dyDescent="0.25">
      <c r="A186" s="33" t="str">
        <f ca="1">IFERROR(__xludf.DUMMYFUNCTION("""COMPUTED_VALUE"""),"111. Новза")</f>
        <v>111. Новза</v>
      </c>
      <c r="B186" s="34">
        <f ca="1">IFERROR(__xludf.DUMMYFUNCTION("""COMPUTED_VALUE"""),38918)</f>
        <v>38918</v>
      </c>
      <c r="C186" s="35" t="str">
        <f ca="1">IFERROR(__xludf.DUMMYFUNCTION("""COMPUTED_VALUE"""),"YULDOSHEVA SHOXIDA G'AYRAT QIZI")</f>
        <v>YULDOSHEVA SHOXIDA G'AYRAT QIZI</v>
      </c>
      <c r="D186" s="35" t="str">
        <f ca="1">IFERROR(__xludf.DUMMYFUNCTION("""COMPUTED_VALUE"""),"Старший рабочий кухни (Техничка, мойка)")</f>
        <v>Старший рабочий кухни (Техничка, мойка)</v>
      </c>
    </row>
    <row r="187" spans="1:4" ht="18" customHeight="1" x14ac:dyDescent="0.25">
      <c r="A187" s="33" t="str">
        <f ca="1">IFERROR(__xludf.DUMMYFUNCTION("""COMPUTED_VALUE"""),"111. Новза")</f>
        <v>111. Новза</v>
      </c>
      <c r="B187" s="34">
        <f ca="1">IFERROR(__xludf.DUMMYFUNCTION("""COMPUTED_VALUE"""),38813)</f>
        <v>38813</v>
      </c>
      <c r="C187" s="35" t="str">
        <f ca="1">IFERROR(__xludf.DUMMYFUNCTION("""COMPUTED_VALUE"""),"EGAMBERDIYEV AZAMAT MIRZABEK O'G'LI")</f>
        <v>EGAMBERDIYEV AZAMAT MIRZABEK O'G'LI</v>
      </c>
      <c r="D187" s="35" t="str">
        <f ca="1">IFERROR(__xludf.DUMMYFUNCTION("""COMPUTED_VALUE"""),"Пиццерист")</f>
        <v>Пиццерист</v>
      </c>
    </row>
    <row r="188" spans="1:4" ht="18" customHeight="1" x14ac:dyDescent="0.25">
      <c r="A188" s="33" t="str">
        <f ca="1">IFERROR(__xludf.DUMMYFUNCTION("""COMPUTED_VALUE"""),"111. Новза")</f>
        <v>111. Новза</v>
      </c>
      <c r="B188" s="34">
        <f ca="1">IFERROR(__xludf.DUMMYFUNCTION("""COMPUTED_VALUE"""),37938)</f>
        <v>37938</v>
      </c>
      <c r="C188" s="35" t="str">
        <f ca="1">IFERROR(__xludf.DUMMYFUNCTION("""COMPUTED_VALUE"""),"XAYDAROV MUXIDDIN ABDURASHID O'G'LI")</f>
        <v>XAYDAROV MUXIDDIN ABDURASHID O'G'LI</v>
      </c>
      <c r="D188" s="35" t="str">
        <f ca="1">IFERROR(__xludf.DUMMYFUNCTION("""COMPUTED_VALUE"""),"Пиццерист")</f>
        <v>Пиццерист</v>
      </c>
    </row>
    <row r="189" spans="1:4" ht="18" customHeight="1" x14ac:dyDescent="0.25">
      <c r="A189" s="33" t="str">
        <f ca="1">IFERROR(__xludf.DUMMYFUNCTION("""COMPUTED_VALUE"""),"111. Новза")</f>
        <v>111. Новза</v>
      </c>
      <c r="B189" s="34">
        <f ca="1">IFERROR(__xludf.DUMMYFUNCTION("""COMPUTED_VALUE"""),38007)</f>
        <v>38007</v>
      </c>
      <c r="C189" s="35" t="str">
        <f ca="1">IFERROR(__xludf.DUMMYFUNCTION("""COMPUTED_VALUE"""),"IBRAHIMOV ADHAM ANVAR O'G'LI")</f>
        <v>IBRAHIMOV ADHAM ANVAR O'G'LI</v>
      </c>
      <c r="D189" s="35" t="str">
        <f ca="1">IFERROR(__xludf.DUMMYFUNCTION("""COMPUTED_VALUE"""),"Универсальный повар WOK")</f>
        <v>Универсальный повар WOK</v>
      </c>
    </row>
    <row r="190" spans="1:4" ht="18" customHeight="1" x14ac:dyDescent="0.25">
      <c r="A190" s="33" t="str">
        <f ca="1">IFERROR(__xludf.DUMMYFUNCTION("""COMPUTED_VALUE"""),"111. Новза")</f>
        <v>111. Новза</v>
      </c>
      <c r="B190" s="34">
        <f ca="1">IFERROR(__xludf.DUMMYFUNCTION("""COMPUTED_VALUE"""),32551)</f>
        <v>32551</v>
      </c>
      <c r="C190" s="35" t="str">
        <f ca="1">IFERROR(__xludf.DUMMYFUNCTION("""COMPUTED_VALUE"""),"OLTIYEVA SEVARA SHARIFOVNA")</f>
        <v>OLTIYEVA SEVARA SHARIFOVNA</v>
      </c>
      <c r="D190" s="35" t="str">
        <f ca="1">IFERROR(__xludf.DUMMYFUNCTION("""COMPUTED_VALUE"""),"Старший рабочий кухни (Техничка, мойка)")</f>
        <v>Старший рабочий кухни (Техничка, мойка)</v>
      </c>
    </row>
    <row r="191" spans="1:4" ht="18" customHeight="1" x14ac:dyDescent="0.25">
      <c r="A191" s="33" t="str">
        <f ca="1">IFERROR(__xludf.DUMMYFUNCTION("""COMPUTED_VALUE"""),"111. Новза")</f>
        <v>111. Новза</v>
      </c>
      <c r="B191" s="34">
        <f ca="1">IFERROR(__xludf.DUMMYFUNCTION("""COMPUTED_VALUE"""),34580)</f>
        <v>34580</v>
      </c>
      <c r="C191" s="35" t="str">
        <f ca="1">IFERROR(__xludf.DUMMYFUNCTION("""COMPUTED_VALUE"""),"ABDULLAYEVA MARYAM XXX")</f>
        <v>ABDULLAYEVA MARYAM XXX</v>
      </c>
      <c r="D191" s="35" t="str">
        <f ca="1">IFERROR(__xludf.DUMMYFUNCTION("""COMPUTED_VALUE"""),"Старший рабочий кухни (Техничка, мойка)")</f>
        <v>Старший рабочий кухни (Техничка, мойка)</v>
      </c>
    </row>
    <row r="192" spans="1:4" ht="18" customHeight="1" x14ac:dyDescent="0.25">
      <c r="A192" s="33" t="str">
        <f ca="1">IFERROR(__xludf.DUMMYFUNCTION("""COMPUTED_VALUE"""),"111. Новза")</f>
        <v>111. Новза</v>
      </c>
      <c r="B192" s="34">
        <f ca="1">IFERROR(__xludf.DUMMYFUNCTION("""COMPUTED_VALUE"""),39123)</f>
        <v>39123</v>
      </c>
      <c r="C192" s="35" t="str">
        <f ca="1">IFERROR(__xludf.DUMMYFUNCTION("""COMPUTED_VALUE"""),"G'AYBULLAYEVA AZIZA QAHRAMON QIZI")</f>
        <v>G'AYBULLAYEVA AZIZA QAHRAMON QIZI</v>
      </c>
      <c r="D192" s="35" t="str">
        <f ca="1">IFERROR(__xludf.DUMMYFUNCTION("""COMPUTED_VALUE"""),"Стажер повар WOK")</f>
        <v>Стажер повар WOK</v>
      </c>
    </row>
    <row r="193" spans="1:4" ht="18" customHeight="1" x14ac:dyDescent="0.25">
      <c r="A193" s="33" t="str">
        <f ca="1">IFERROR(__xludf.DUMMYFUNCTION("""COMPUTED_VALUE"""),"111. Новза")</f>
        <v>111. Новза</v>
      </c>
      <c r="B193" s="34">
        <f ca="1">IFERROR(__xludf.DUMMYFUNCTION("""COMPUTED_VALUE"""),38252)</f>
        <v>38252</v>
      </c>
      <c r="C193" s="35" t="str">
        <f ca="1">IFERROR(__xludf.DUMMYFUNCTION("""COMPUTED_VALUE"""),"G'UZOROVA SEVINCH G'AYRAT QIZI")</f>
        <v>G'UZOROVA SEVINCH G'AYRAT QIZI</v>
      </c>
      <c r="D193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194" spans="1:4" ht="18" customHeight="1" x14ac:dyDescent="0.25">
      <c r="A194" s="33" t="str">
        <f ca="1">IFERROR(__xludf.DUMMYFUNCTION("""COMPUTED_VALUE"""),"111. Новза")</f>
        <v>111. Новза</v>
      </c>
      <c r="B194" s="34">
        <f ca="1">IFERROR(__xludf.DUMMYFUNCTION("""COMPUTED_VALUE"""),37560)</f>
        <v>37560</v>
      </c>
      <c r="C194" s="35" t="str">
        <f ca="1">IFERROR(__xludf.DUMMYFUNCTION("""COMPUTED_VALUE"""),"ABDUXAKIMOV ELBEK AXTAMQUL O'G'LI")</f>
        <v>ABDUXAKIMOV ELBEK AXTAMQUL O'G'LI</v>
      </c>
      <c r="D194" s="35" t="str">
        <f ca="1">IFERROR(__xludf.DUMMYFUNCTION("""COMPUTED_VALUE"""),"Стажер официант")</f>
        <v>Стажер официант</v>
      </c>
    </row>
    <row r="195" spans="1:4" ht="18" customHeight="1" x14ac:dyDescent="0.25">
      <c r="A195" s="33" t="str">
        <f ca="1">IFERROR(__xludf.DUMMYFUNCTION("""COMPUTED_VALUE"""),"111. Новза")</f>
        <v>111. Новза</v>
      </c>
      <c r="B195" s="34">
        <f ca="1">IFERROR(__xludf.DUMMYFUNCTION("""COMPUTED_VALUE"""),39120)</f>
        <v>39120</v>
      </c>
      <c r="C195" s="35" t="str">
        <f ca="1">IFERROR(__xludf.DUMMYFUNCTION("""COMPUTED_VALUE"""),"ABDUG'ANIYEV ABDUSHUKUR ABDUNOSIR O'G'LI")</f>
        <v>ABDUG'ANIYEV ABDUSHUKUR ABDUNOSIR O'G'LI</v>
      </c>
      <c r="D195" s="35" t="str">
        <f ca="1">IFERROR(__xludf.DUMMYFUNCTION("""COMPUTED_VALUE"""),"Стажер повар WOK")</f>
        <v>Стажер повар WOK</v>
      </c>
    </row>
    <row r="196" spans="1:4" ht="18" customHeight="1" x14ac:dyDescent="0.25">
      <c r="A196" s="33" t="str">
        <f ca="1">IFERROR(__xludf.DUMMYFUNCTION("""COMPUTED_VALUE"""),"111. Новза")</f>
        <v>111. Новза</v>
      </c>
      <c r="B196" s="34">
        <f ca="1">IFERROR(__xludf.DUMMYFUNCTION("""COMPUTED_VALUE"""),38009)</f>
        <v>38009</v>
      </c>
      <c r="C196" s="35" t="str">
        <f ca="1">IFERROR(__xludf.DUMMYFUNCTION("""COMPUTED_VALUE"""),"MAXMUDOVA XULKAROY MUZAFFAR QIZI")</f>
        <v>MAXMUDOVA XULKAROY MUZAFFAR QIZI</v>
      </c>
      <c r="D196" s="35" t="str">
        <f ca="1">IFERROR(__xludf.DUMMYFUNCTION("""COMPUTED_VALUE"""),"Универсальный сотрудник Front line")</f>
        <v>Универсальный сотрудник Front line</v>
      </c>
    </row>
    <row r="197" spans="1:4" ht="18" customHeight="1" x14ac:dyDescent="0.25">
      <c r="A197" s="33" t="str">
        <f ca="1">IFERROR(__xludf.DUMMYFUNCTION("""COMPUTED_VALUE"""),"111. Новза")</f>
        <v>111. Новза</v>
      </c>
      <c r="B197" s="34">
        <f ca="1">IFERROR(__xludf.DUMMYFUNCTION("""COMPUTED_VALUE"""),39309)</f>
        <v>39309</v>
      </c>
      <c r="C197" s="35" t="str">
        <f ca="1">IFERROR(__xludf.DUMMYFUNCTION("""COMPUTED_VALUE"""),"NE'MATULLAYEV OZODBEK G'OFUR O'G'LI")</f>
        <v>NE'MATULLAYEV OZODBEK G'OFUR O'G'LI</v>
      </c>
      <c r="D197" s="35" t="str">
        <f ca="1">IFERROR(__xludf.DUMMYFUNCTION("""COMPUTED_VALUE"""),"Стажер официант")</f>
        <v>Стажер официант</v>
      </c>
    </row>
    <row r="198" spans="1:4" ht="18" customHeight="1" x14ac:dyDescent="0.25">
      <c r="A198" s="33" t="str">
        <f ca="1">IFERROR(__xludf.DUMMYFUNCTION("""COMPUTED_VALUE"""),"111. Новза")</f>
        <v>111. Новза</v>
      </c>
      <c r="B198" s="34">
        <f ca="1">IFERROR(__xludf.DUMMYFUNCTION("""COMPUTED_VALUE"""),38512)</f>
        <v>38512</v>
      </c>
      <c r="C198" s="35" t="str">
        <f ca="1">IFERROR(__xludf.DUMMYFUNCTION("""COMPUTED_VALUE"""),"BEKNAZAROV OG'ABEK OTABEK O'GLI")</f>
        <v>BEKNAZAROV OG'ABEK OTABEK O'GLI</v>
      </c>
      <c r="D198" s="35" t="str">
        <f ca="1">IFERROR(__xludf.DUMMYFUNCTION("""COMPUTED_VALUE"""),"Стажер повар Street")</f>
        <v>Стажер повар Street</v>
      </c>
    </row>
    <row r="199" spans="1:4" ht="18" customHeight="1" x14ac:dyDescent="0.25">
      <c r="A199" s="33" t="str">
        <f ca="1">IFERROR(__xludf.DUMMYFUNCTION("""COMPUTED_VALUE"""),"111. Новза")</f>
        <v>111. Новза</v>
      </c>
      <c r="B199" s="34">
        <f ca="1">IFERROR(__xludf.DUMMYFUNCTION("""COMPUTED_VALUE"""),39130)</f>
        <v>39130</v>
      </c>
      <c r="C199" s="35" t="str">
        <f ca="1">IFERROR(__xludf.DUMMYFUNCTION("""COMPUTED_VALUE"""),"OLIMOV DILSHODBEK HAYOTJON O'G'LI")</f>
        <v>OLIMOV DILSHODBEK HAYOTJON O'G'LI</v>
      </c>
      <c r="D199" s="35" t="str">
        <f ca="1">IFERROR(__xludf.DUMMYFUNCTION("""COMPUTED_VALUE"""),"Младший пиццерист")</f>
        <v>Младший пиццерист</v>
      </c>
    </row>
    <row r="200" spans="1:4" ht="18" customHeight="1" x14ac:dyDescent="0.25">
      <c r="A200" s="33" t="str">
        <f ca="1">IFERROR(__xludf.DUMMYFUNCTION("""COMPUTED_VALUE"""),"111. Новза")</f>
        <v>111. Новза</v>
      </c>
      <c r="B200" s="34">
        <f ca="1">IFERROR(__xludf.DUMMYFUNCTION("""COMPUTED_VALUE"""),38806)</f>
        <v>38806</v>
      </c>
      <c r="C200" s="35" t="str">
        <f ca="1">IFERROR(__xludf.DUMMYFUNCTION("""COMPUTED_VALUE"""),"ORTIQOV FAZLIDDIN ERKIN O'G'LI")</f>
        <v>ORTIQOV FAZLIDDIN ERKIN O'G'LI</v>
      </c>
      <c r="D200" s="35" t="str">
        <f ca="1">IFERROR(__xludf.DUMMYFUNCTION("""COMPUTED_VALUE"""),"Стажер первoй линии")</f>
        <v>Стажер первoй линии</v>
      </c>
    </row>
    <row r="201" spans="1:4" ht="18" customHeight="1" x14ac:dyDescent="0.25">
      <c r="A201" s="33" t="str">
        <f ca="1">IFERROR(__xludf.DUMMYFUNCTION("""COMPUTED_VALUE"""),"111. Новза")</f>
        <v>111. Новза</v>
      </c>
      <c r="B201" s="34">
        <f ca="1">IFERROR(__xludf.DUMMYFUNCTION("""COMPUTED_VALUE"""),39430)</f>
        <v>39430</v>
      </c>
      <c r="C201" s="35" t="str">
        <f ca="1">IFERROR(__xludf.DUMMYFUNCTION("""COMPUTED_VALUE"""),"YANGIBOYEV JABBORBEK SAIDJON O'G'LI")</f>
        <v>YANGIBOYEV JABBORBEK SAIDJON O'G'LI</v>
      </c>
      <c r="D201" s="35" t="str">
        <f ca="1">IFERROR(__xludf.DUMMYFUNCTION("""COMPUTED_VALUE"""),"Стажер повар WOK")</f>
        <v>Стажер повар WOK</v>
      </c>
    </row>
    <row r="202" spans="1:4" ht="18" customHeight="1" x14ac:dyDescent="0.25">
      <c r="A202" s="33" t="str">
        <f ca="1">IFERROR(__xludf.DUMMYFUNCTION("""COMPUTED_VALUE"""),"111. Новза")</f>
        <v>111. Новза</v>
      </c>
      <c r="B202" s="34">
        <f ca="1">IFERROR(__xludf.DUMMYFUNCTION("""COMPUTED_VALUE"""),38430)</f>
        <v>38430</v>
      </c>
      <c r="C202" s="35" t="str">
        <f ca="1">IFERROR(__xludf.DUMMYFUNCTION("""COMPUTED_VALUE"""),"NURXONOV BOYMUROD NURMUHAMMAD O'G'LI")</f>
        <v>NURXONOV BOYMUROD NURMUHAMMAD O'G'LI</v>
      </c>
      <c r="D202" s="35" t="str">
        <f ca="1">IFERROR(__xludf.DUMMYFUNCTION("""COMPUTED_VALUE"""),"Стажер первoй линии")</f>
        <v>Стажер первoй линии</v>
      </c>
    </row>
    <row r="203" spans="1:4" ht="18" customHeight="1" x14ac:dyDescent="0.25">
      <c r="A203" s="33" t="str">
        <f ca="1">IFERROR(__xludf.DUMMYFUNCTION("""COMPUTED_VALUE"""),"111. Новза")</f>
        <v>111. Новза</v>
      </c>
      <c r="B203" s="34">
        <f ca="1">IFERROR(__xludf.DUMMYFUNCTION("""COMPUTED_VALUE"""),35862)</f>
        <v>35862</v>
      </c>
      <c r="C203" s="35" t="str">
        <f ca="1">IFERROR(__xludf.DUMMYFUNCTION("""COMPUTED_VALUE"""),"JALOLOVA SITORA NIZOMXON QIZI")</f>
        <v>JALOLOVA SITORA NIZOMXON QIZI</v>
      </c>
      <c r="D203" s="35" t="str">
        <f ca="1">IFERROR(__xludf.DUMMYFUNCTION("""COMPUTED_VALUE"""),"Стажер официант")</f>
        <v>Стажер официант</v>
      </c>
    </row>
    <row r="204" spans="1:4" ht="18" customHeight="1" x14ac:dyDescent="0.25">
      <c r="A204" s="33" t="str">
        <f ca="1">IFERROR(__xludf.DUMMYFUNCTION("""COMPUTED_VALUE"""),"110. Анхор")</f>
        <v>110. Анхор</v>
      </c>
      <c r="B204" s="34">
        <f ca="1">IFERROR(__xludf.DUMMYFUNCTION("""COMPUTED_VALUE"""),36502)</f>
        <v>36502</v>
      </c>
      <c r="C204" s="35" t="str">
        <f ca="1">IFERROR(__xludf.DUMMYFUNCTION("""COMPUTED_VALUE"""),"NURULLAYEV DAVRON AVAZ-UGLI")</f>
        <v>NURULLAYEV DAVRON AVAZ-UGLI</v>
      </c>
      <c r="D204" s="35" t="str">
        <f ca="1">IFERROR(__xludf.DUMMYFUNCTION("""COMPUTED_VALUE"""),"Управляющий")</f>
        <v>Управляющий</v>
      </c>
    </row>
    <row r="205" spans="1:4" ht="18" customHeight="1" x14ac:dyDescent="0.25">
      <c r="A205" s="33" t="str">
        <f ca="1">IFERROR(__xludf.DUMMYFUNCTION("""COMPUTED_VALUE"""),"110. Анхор")</f>
        <v>110. Анхор</v>
      </c>
      <c r="B205" s="34">
        <f ca="1">IFERROR(__xludf.DUMMYFUNCTION("""COMPUTED_VALUE"""),37398)</f>
        <v>37398</v>
      </c>
      <c r="C205" s="35" t="str">
        <f ca="1">IFERROR(__xludf.DUMMYFUNCTION("""COMPUTED_VALUE"""),"INOMJONOV KOMRONBEK ILXOM O'G'LI")</f>
        <v>INOMJONOV KOMRONBEK ILXOM O'G'LI</v>
      </c>
      <c r="D205" s="35" t="str">
        <f ca="1">IFERROR(__xludf.DUMMYFUNCTION("""COMPUTED_VALUE"""),"Сменный менеджер")</f>
        <v>Сменный менеджер</v>
      </c>
    </row>
    <row r="206" spans="1:4" ht="18" customHeight="1" x14ac:dyDescent="0.25">
      <c r="A206" s="33" t="str">
        <f ca="1">IFERROR(__xludf.DUMMYFUNCTION("""COMPUTED_VALUE"""),"110. Анхор")</f>
        <v>110. Анхор</v>
      </c>
      <c r="B206" s="34">
        <f ca="1">IFERROR(__xludf.DUMMYFUNCTION("""COMPUTED_VALUE"""),39052)</f>
        <v>39052</v>
      </c>
      <c r="C206" s="35" t="str">
        <f ca="1">IFERROR(__xludf.DUMMYFUNCTION("""COMPUTED_VALUE"""),"TURSUNOV DIYORBEK DONIYOR O'G'LI")</f>
        <v>TURSUNOV DIYORBEK DONIYOR O'G'LI</v>
      </c>
      <c r="D206" s="35" t="str">
        <f ca="1">IFERROR(__xludf.DUMMYFUNCTION("""COMPUTED_VALUE"""),"Сменный менеджер")</f>
        <v>Сменный менеджер</v>
      </c>
    </row>
    <row r="207" spans="1:4" ht="18" customHeight="1" x14ac:dyDescent="0.25">
      <c r="A207" s="33" t="str">
        <f ca="1">IFERROR(__xludf.DUMMYFUNCTION("""COMPUTED_VALUE"""),"110. Анхор")</f>
        <v>110. Анхор</v>
      </c>
      <c r="B207" s="34">
        <f ca="1">IFERROR(__xludf.DUMMYFUNCTION("""COMPUTED_VALUE"""),37359)</f>
        <v>37359</v>
      </c>
      <c r="C207" s="35" t="str">
        <f ca="1">IFERROR(__xludf.DUMMYFUNCTION("""COMPUTED_VALUE"""),"SAPAYEV ZAFARBEK QAMARIDDIN O'G'LI")</f>
        <v>SAPAYEV ZAFARBEK QAMARIDDIN O'G'LI</v>
      </c>
      <c r="D207" s="35" t="str">
        <f ca="1">IFERROR(__xludf.DUMMYFUNCTION("""COMPUTED_VALUE"""),"Сменный менеджер")</f>
        <v>Сменный менеджер</v>
      </c>
    </row>
    <row r="208" spans="1:4" ht="18" customHeight="1" x14ac:dyDescent="0.25">
      <c r="A208" s="33" t="str">
        <f ca="1">IFERROR(__xludf.DUMMYFUNCTION("""COMPUTED_VALUE"""),"110. Анхор")</f>
        <v>110. Анхор</v>
      </c>
      <c r="B208" s="34">
        <f ca="1">IFERROR(__xludf.DUMMYFUNCTION("""COMPUTED_VALUE"""),38648)</f>
        <v>38648</v>
      </c>
      <c r="C208" s="35" t="str">
        <f ca="1">IFERROR(__xludf.DUMMYFUNCTION("""COMPUTED_VALUE"""),"MO'YDINOV JAHONGIR JAMOLDIN O'G'LI")</f>
        <v>MO'YDINOV JAHONGIR JAMOLDIN O'G'LI</v>
      </c>
      <c r="D208" s="35" t="str">
        <f ca="1">IFERROR(__xludf.DUMMYFUNCTION("""COMPUTED_VALUE"""),"Лидер производства WOK")</f>
        <v>Лидер производства WOK</v>
      </c>
    </row>
    <row r="209" spans="1:4" ht="18" customHeight="1" x14ac:dyDescent="0.25">
      <c r="A209" s="33" t="str">
        <f ca="1">IFERROR(__xludf.DUMMYFUNCTION("""COMPUTED_VALUE"""),"110. Анхор")</f>
        <v>110. Анхор</v>
      </c>
      <c r="B209" s="34">
        <f ca="1">IFERROR(__xludf.DUMMYFUNCTION("""COMPUTED_VALUE"""),38170)</f>
        <v>38170</v>
      </c>
      <c r="C209" s="35" t="str">
        <f ca="1">IFERROR(__xludf.DUMMYFUNCTION("""COMPUTED_VALUE"""),"ERGASHEV KOMRONBEK KAXRAMON O'G'LI")</f>
        <v>ERGASHEV KOMRONBEK KAXRAMON O'G'LI</v>
      </c>
      <c r="D209" s="35" t="str">
        <f ca="1">IFERROR(__xludf.DUMMYFUNCTION("""COMPUTED_VALUE"""),"Лидер обслуживания")</f>
        <v>Лидер обслуживания</v>
      </c>
    </row>
    <row r="210" spans="1:4" ht="18" customHeight="1" x14ac:dyDescent="0.25">
      <c r="A210" s="33" t="str">
        <f ca="1">IFERROR(__xludf.DUMMYFUNCTION("""COMPUTED_VALUE"""),"110. Анхор")</f>
        <v>110. Анхор</v>
      </c>
      <c r="B210" s="34">
        <f ca="1">IFERROR(__xludf.DUMMYFUNCTION("""COMPUTED_VALUE"""),38186)</f>
        <v>38186</v>
      </c>
      <c r="C210" s="35" t="str">
        <f ca="1">IFERROR(__xludf.DUMMYFUNCTION("""COMPUTED_VALUE"""),"XAMIDOVA IRODA O'TKIRBEK QIZI")</f>
        <v>XAMIDOVA IRODA O'TKIRBEK QIZI</v>
      </c>
      <c r="D210" s="35" t="str">
        <f ca="1">IFERROR(__xludf.DUMMYFUNCTION("""COMPUTED_VALUE"""),"Универсальный сотрудник Front line")</f>
        <v>Универсальный сотрудник Front line</v>
      </c>
    </row>
    <row r="211" spans="1:4" ht="18" customHeight="1" x14ac:dyDescent="0.25">
      <c r="A211" s="33" t="str">
        <f ca="1">IFERROR(__xludf.DUMMYFUNCTION("""COMPUTED_VALUE"""),"110. Анхор")</f>
        <v>110. Анхор</v>
      </c>
      <c r="B211" s="34">
        <f ca="1">IFERROR(__xludf.DUMMYFUNCTION("""COMPUTED_VALUE"""),38281)</f>
        <v>38281</v>
      </c>
      <c r="C211" s="35" t="str">
        <f ca="1">IFERROR(__xludf.DUMMYFUNCTION("""COMPUTED_VALUE"""),"ESHQO'ZIYEV BEKMUROD BOBOMUROD O'G'LI")</f>
        <v>ESHQO'ZIYEV BEKMUROD BOBOMUROD O'G'LI</v>
      </c>
      <c r="D211" s="35" t="str">
        <f ca="1">IFERROR(__xludf.DUMMYFUNCTION("""COMPUTED_VALUE"""),"Универсальный повар WOK")</f>
        <v>Универсальный повар WOK</v>
      </c>
    </row>
    <row r="212" spans="1:4" ht="18" customHeight="1" x14ac:dyDescent="0.25">
      <c r="A212" s="33" t="str">
        <f ca="1">IFERROR(__xludf.DUMMYFUNCTION("""COMPUTED_VALUE"""),"110. Анхор")</f>
        <v>110. Анхор</v>
      </c>
      <c r="B212" s="34">
        <f ca="1">IFERROR(__xludf.DUMMYFUNCTION("""COMPUTED_VALUE"""),39312)</f>
        <v>39312</v>
      </c>
      <c r="C212" s="35" t="str">
        <f ca="1">IFERROR(__xludf.DUMMYFUNCTION("""COMPUTED_VALUE"""),"ABDUMALIKOV ABDUAZIM ABDUSHUKUR O'G'LI")</f>
        <v>ABDUMALIKOV ABDUAZIM ABDUSHUKUR O'G'LI</v>
      </c>
      <c r="D212" s="35" t="str">
        <f ca="1">IFERROR(__xludf.DUMMYFUNCTION("""COMPUTED_VALUE"""),"Универсальный повар WOK")</f>
        <v>Универсальный повар WOK</v>
      </c>
    </row>
    <row r="213" spans="1:4" ht="18" customHeight="1" x14ac:dyDescent="0.25">
      <c r="A213" s="33" t="str">
        <f ca="1">IFERROR(__xludf.DUMMYFUNCTION("""COMPUTED_VALUE"""),"110. Анхор")</f>
        <v>110. Анхор</v>
      </c>
      <c r="B213" s="34">
        <f ca="1">IFERROR(__xludf.DUMMYFUNCTION("""COMPUTED_VALUE"""),28516)</f>
        <v>28516</v>
      </c>
      <c r="C213" s="35" t="str">
        <f ca="1">IFERROR(__xludf.DUMMYFUNCTION("""COMPUTED_VALUE"""),"ABDUSAMATOV ABDUJALIL ABDUMUTALOVICH")</f>
        <v>ABDUSAMATOV ABDUJALIL ABDUMUTALOVICH</v>
      </c>
      <c r="D213" s="35" t="str">
        <f ca="1">IFERROR(__xludf.DUMMYFUNCTION("""COMPUTED_VALUE"""),"Курьер")</f>
        <v>Курьер</v>
      </c>
    </row>
    <row r="214" spans="1:4" ht="18" customHeight="1" x14ac:dyDescent="0.25">
      <c r="A214" s="33" t="str">
        <f ca="1">IFERROR(__xludf.DUMMYFUNCTION("""COMPUTED_VALUE"""),"110. Анхор")</f>
        <v>110. Анхор</v>
      </c>
      <c r="B214" s="34">
        <f ca="1">IFERROR(__xludf.DUMMYFUNCTION("""COMPUTED_VALUE"""),37769)</f>
        <v>37769</v>
      </c>
      <c r="C214" s="35" t="str">
        <f ca="1">IFERROR(__xludf.DUMMYFUNCTION("""COMPUTED_VALUE"""),"NAZAROVA SETORA QILICH QIZI")</f>
        <v>NAZAROVA SETORA QILICH QIZI</v>
      </c>
      <c r="D214" s="35" t="str">
        <f ca="1">IFERROR(__xludf.DUMMYFUNCTION("""COMPUTED_VALUE"""),"Лидер производствa Street")</f>
        <v>Лидер производствa Street</v>
      </c>
    </row>
    <row r="215" spans="1:4" ht="18" customHeight="1" x14ac:dyDescent="0.25">
      <c r="A215" s="33" t="str">
        <f ca="1">IFERROR(__xludf.DUMMYFUNCTION("""COMPUTED_VALUE"""),"110. Анхор")</f>
        <v>110. Анхор</v>
      </c>
      <c r="B215" s="34">
        <f ca="1">IFERROR(__xludf.DUMMYFUNCTION("""COMPUTED_VALUE"""),38263)</f>
        <v>38263</v>
      </c>
      <c r="C215" s="35" t="str">
        <f ca="1">IFERROR(__xludf.DUMMYFUNCTION("""COMPUTED_VALUE"""),"MUHAMADJONOV MAQSADJON MAHMUDJON O'G'LI")</f>
        <v>MUHAMADJONOV MAQSADJON MAHMUDJON O'G'LI</v>
      </c>
      <c r="D215" s="35" t="str">
        <f ca="1">IFERROR(__xludf.DUMMYFUNCTION("""COMPUTED_VALUE"""),"Старший повар Wok")</f>
        <v>Старший повар Wok</v>
      </c>
    </row>
    <row r="216" spans="1:4" ht="18" customHeight="1" x14ac:dyDescent="0.25">
      <c r="A216" s="33" t="str">
        <f ca="1">IFERROR(__xludf.DUMMYFUNCTION("""COMPUTED_VALUE"""),"110. Анхор")</f>
        <v>110. Анхор</v>
      </c>
      <c r="B216" s="34">
        <f ca="1">IFERROR(__xludf.DUMMYFUNCTION("""COMPUTED_VALUE"""),38464)</f>
        <v>38464</v>
      </c>
      <c r="C216" s="35" t="str">
        <f ca="1">IFERROR(__xludf.DUMMYFUNCTION("""COMPUTED_VALUE"""),"OROLOV SARDOR ZARIF O'G'LI")</f>
        <v>OROLOV SARDOR ZARIF O'G'LI</v>
      </c>
      <c r="D216" s="35" t="str">
        <f ca="1">IFERROR(__xludf.DUMMYFUNCTION("""COMPUTED_VALUE"""),"Универсальный повар WOK")</f>
        <v>Универсальный повар WOK</v>
      </c>
    </row>
    <row r="217" spans="1:4" ht="18" customHeight="1" x14ac:dyDescent="0.25">
      <c r="A217" s="33" t="str">
        <f ca="1">IFERROR(__xludf.DUMMYFUNCTION("""COMPUTED_VALUE"""),"110. Анхор")</f>
        <v>110. Анхор</v>
      </c>
      <c r="B217" s="34">
        <f ca="1">IFERROR(__xludf.DUMMYFUNCTION("""COMPUTED_VALUE"""),39122)</f>
        <v>39122</v>
      </c>
      <c r="C217" s="35" t="str">
        <f ca="1">IFERROR(__xludf.DUMMYFUNCTION("""COMPUTED_VALUE"""),"NARZIYEV OZODBEK JASUR O'G'LI")</f>
        <v>NARZIYEV OZODBEK JASUR O'G'LI</v>
      </c>
      <c r="D217" s="35" t="str">
        <f ca="1">IFERROR(__xludf.DUMMYFUNCTION("""COMPUTED_VALUE"""),"Старший повар Wok")</f>
        <v>Старший повар Wok</v>
      </c>
    </row>
    <row r="218" spans="1:4" ht="18" customHeight="1" x14ac:dyDescent="0.25">
      <c r="A218" s="33" t="str">
        <f ca="1">IFERROR(__xludf.DUMMYFUNCTION("""COMPUTED_VALUE"""),"110. Анхор")</f>
        <v>110. Анхор</v>
      </c>
      <c r="B218" s="34">
        <f ca="1">IFERROR(__xludf.DUMMYFUNCTION("""COMPUTED_VALUE"""),38516)</f>
        <v>38516</v>
      </c>
      <c r="C218" s="35" t="str">
        <f ca="1">IFERROR(__xludf.DUMMYFUNCTION("""COMPUTED_VALUE"""),"TOIROV HAMIDULLA UBAYDULLA O'G'LI")</f>
        <v>TOIROV HAMIDULLA UBAYDULLA O'G'LI</v>
      </c>
      <c r="D218" s="35" t="str">
        <f ca="1">IFERROR(__xludf.DUMMYFUNCTION("""COMPUTED_VALUE"""),"Лидер производствa Street")</f>
        <v>Лидер производствa Street</v>
      </c>
    </row>
    <row r="219" spans="1:4" ht="18" customHeight="1" x14ac:dyDescent="0.25">
      <c r="A219" s="33" t="str">
        <f ca="1">IFERROR(__xludf.DUMMYFUNCTION("""COMPUTED_VALUE"""),"110. Анхор")</f>
        <v>110. Анхор</v>
      </c>
      <c r="B219" s="34">
        <f ca="1">IFERROR(__xludf.DUMMYFUNCTION("""COMPUTED_VALUE"""),38483)</f>
        <v>38483</v>
      </c>
      <c r="C219" s="35" t="str">
        <f ca="1">IFERROR(__xludf.DUMMYFUNCTION("""COMPUTED_VALUE"""),"MO'MINOV SHAXBOZ SHAVKAT O'G'LI")</f>
        <v>MO'MINOV SHAXBOZ SHAVKAT O'G'LI</v>
      </c>
      <c r="D219" s="35" t="str">
        <f ca="1">IFERROR(__xludf.DUMMYFUNCTION("""COMPUTED_VALUE"""),"Универсальный повар Street")</f>
        <v>Универсальный повар Street</v>
      </c>
    </row>
    <row r="220" spans="1:4" ht="18" customHeight="1" x14ac:dyDescent="0.25">
      <c r="A220" s="33" t="str">
        <f ca="1">IFERROR(__xludf.DUMMYFUNCTION("""COMPUTED_VALUE"""),"110. Анхор")</f>
        <v>110. Анхор</v>
      </c>
      <c r="B220" s="34">
        <f ca="1">IFERROR(__xludf.DUMMYFUNCTION("""COMPUTED_VALUE"""),37475)</f>
        <v>37475</v>
      </c>
      <c r="C220" s="35" t="str">
        <f ca="1">IFERROR(__xludf.DUMMYFUNCTION("""COMPUTED_VALUE"""),"XAQMURODOV MIRZOHID SHOMUROT O'G'LI")</f>
        <v>XAQMURODOV MIRZOHID SHOMUROT O'G'LI</v>
      </c>
      <c r="D220" s="35" t="str">
        <f ca="1">IFERROR(__xludf.DUMMYFUNCTION("""COMPUTED_VALUE"""),"Универсальный повар Street")</f>
        <v>Универсальный повар Street</v>
      </c>
    </row>
    <row r="221" spans="1:4" ht="18" customHeight="1" x14ac:dyDescent="0.25">
      <c r="A221" s="33" t="str">
        <f ca="1">IFERROR(__xludf.DUMMYFUNCTION("""COMPUTED_VALUE"""),"110. Анхор")</f>
        <v>110. Анхор</v>
      </c>
      <c r="B221" s="34">
        <f ca="1">IFERROR(__xludf.DUMMYFUNCTION("""COMPUTED_VALUE"""),38352)</f>
        <v>38352</v>
      </c>
      <c r="C221" s="35" t="str">
        <f ca="1">IFERROR(__xludf.DUMMYFUNCTION("""COMPUTED_VALUE"""),"USMONALIYEVA AYNURA SOTVOLDI QIZI")</f>
        <v>USMONALIYEVA AYNURA SOTVOLDI QIZI</v>
      </c>
      <c r="D221" s="35" t="str">
        <f ca="1">IFERROR(__xludf.DUMMYFUNCTION("""COMPUTED_VALUE"""),"Пиццерист")</f>
        <v>Пиццерист</v>
      </c>
    </row>
    <row r="222" spans="1:4" ht="18" customHeight="1" x14ac:dyDescent="0.25">
      <c r="A222" s="33" t="str">
        <f ca="1">IFERROR(__xludf.DUMMYFUNCTION("""COMPUTED_VALUE"""),"110. Анхор")</f>
        <v>110. Анхор</v>
      </c>
      <c r="B222" s="34">
        <f ca="1">IFERROR(__xludf.DUMMYFUNCTION("""COMPUTED_VALUE"""),38265)</f>
        <v>38265</v>
      </c>
      <c r="C222" s="35" t="str">
        <f ca="1">IFERROR(__xludf.DUMMYFUNCTION("""COMPUTED_VALUE"""),"MAHMUDOV ABRORJON TOLIBJON O'G'LI")</f>
        <v>MAHMUDOV ABRORJON TOLIBJON O'G'LI</v>
      </c>
      <c r="D222" s="35" t="str">
        <f ca="1">IFERROR(__xludf.DUMMYFUNCTION("""COMPUTED_VALUE"""),"Пиццерист")</f>
        <v>Пиццерист</v>
      </c>
    </row>
    <row r="223" spans="1:4" ht="18" customHeight="1" x14ac:dyDescent="0.25">
      <c r="A223" s="33" t="str">
        <f ca="1">IFERROR(__xludf.DUMMYFUNCTION("""COMPUTED_VALUE"""),"110. Анхор")</f>
        <v>110. Анхор</v>
      </c>
      <c r="B223" s="34">
        <f ca="1">IFERROR(__xludf.DUMMYFUNCTION("""COMPUTED_VALUE"""),34042)</f>
        <v>34042</v>
      </c>
      <c r="C223" s="35" t="str">
        <f ca="1">IFERROR(__xludf.DUMMYFUNCTION("""COMPUTED_VALUE"""),"RAXMATULLAYEVA MANZURA ABDUSATTOR QIZI")</f>
        <v>RAXMATULLAYEVA MANZURA ABDUSATTOR QIZI</v>
      </c>
      <c r="D223" s="35" t="str">
        <f ca="1">IFERROR(__xludf.DUMMYFUNCTION("""COMPUTED_VALUE"""),"Старший рабочий кухни (Техничка, мойка)")</f>
        <v>Старший рабочий кухни (Техничка, мойка)</v>
      </c>
    </row>
    <row r="224" spans="1:4" ht="18" customHeight="1" x14ac:dyDescent="0.25">
      <c r="A224" s="33" t="str">
        <f ca="1">IFERROR(__xludf.DUMMYFUNCTION("""COMPUTED_VALUE"""),"110. Анхор")</f>
        <v>110. Анхор</v>
      </c>
      <c r="B224" s="34">
        <f ca="1">IFERROR(__xludf.DUMMYFUNCTION("""COMPUTED_VALUE"""),33798)</f>
        <v>33798</v>
      </c>
      <c r="C224" s="35" t="str">
        <f ca="1">IFERROR(__xludf.DUMMYFUNCTION("""COMPUTED_VALUE"""),"AMETOVA NURSULU GAFUROVNA")</f>
        <v>AMETOVA NURSULU GAFUROVNA</v>
      </c>
      <c r="D224" s="35" t="str">
        <f ca="1">IFERROR(__xludf.DUMMYFUNCTION("""COMPUTED_VALUE"""),"Лидер обслуживания")</f>
        <v>Лидер обслуживания</v>
      </c>
    </row>
    <row r="225" spans="1:4" ht="18" customHeight="1" x14ac:dyDescent="0.25">
      <c r="A225" s="33" t="str">
        <f ca="1">IFERROR(__xludf.DUMMYFUNCTION("""COMPUTED_VALUE"""),"110. Анхор")</f>
        <v>110. Анхор</v>
      </c>
      <c r="B225" s="34">
        <f ca="1">IFERROR(__xludf.DUMMYFUNCTION("""COMPUTED_VALUE"""),38869)</f>
        <v>38869</v>
      </c>
      <c r="C225" s="35" t="str">
        <f ca="1">IFERROR(__xludf.DUMMYFUNCTION("""COMPUTED_VALUE"""),"NARZULLAYEV ELOMON XOLMURODOVICH")</f>
        <v>NARZULLAYEV ELOMON XOLMURODOVICH</v>
      </c>
      <c r="D225" s="35" t="str">
        <f ca="1">IFERROR(__xludf.DUMMYFUNCTION("""COMPUTED_VALUE"""),"Старший повар Wok")</f>
        <v>Старший повар Wok</v>
      </c>
    </row>
    <row r="226" spans="1:4" ht="18" customHeight="1" x14ac:dyDescent="0.25">
      <c r="A226" s="33" t="str">
        <f ca="1">IFERROR(__xludf.DUMMYFUNCTION("""COMPUTED_VALUE"""),"110. Анхор")</f>
        <v>110. Анхор</v>
      </c>
      <c r="B226" s="34">
        <f ca="1">IFERROR(__xludf.DUMMYFUNCTION("""COMPUTED_VALUE"""),39407)</f>
        <v>39407</v>
      </c>
      <c r="C226" s="35" t="str">
        <f ca="1">IFERROR(__xludf.DUMMYFUNCTION("""COMPUTED_VALUE"""),"G'AYBULLAYEV DIYORBEK TOLIB O'G'LI")</f>
        <v>G'AYBULLAYEV DIYORBEK TOLIB O'G'LI</v>
      </c>
      <c r="D226" s="35" t="str">
        <f ca="1">IFERROR(__xludf.DUMMYFUNCTION("""COMPUTED_VALUE"""),"Старший повар Wok")</f>
        <v>Старший повар Wok</v>
      </c>
    </row>
    <row r="227" spans="1:4" ht="18" customHeight="1" x14ac:dyDescent="0.25">
      <c r="A227" s="33" t="str">
        <f ca="1">IFERROR(__xludf.DUMMYFUNCTION("""COMPUTED_VALUE"""),"110. Анхор")</f>
        <v>110. Анхор</v>
      </c>
      <c r="B227" s="34">
        <f ca="1">IFERROR(__xludf.DUMMYFUNCTION("""COMPUTED_VALUE"""),39240)</f>
        <v>39240</v>
      </c>
      <c r="C227" s="35" t="str">
        <f ca="1">IFERROR(__xludf.DUMMYFUNCTION("""COMPUTED_VALUE"""),"HASANOV MURODJON ODIL O'G'LI")</f>
        <v>HASANOV MURODJON ODIL O'G'LI</v>
      </c>
      <c r="D227" s="35" t="str">
        <f ca="1">IFERROR(__xludf.DUMMYFUNCTION("""COMPUTED_VALUE"""),"Старший повар Wok")</f>
        <v>Старший повар Wok</v>
      </c>
    </row>
    <row r="228" spans="1:4" ht="18" customHeight="1" x14ac:dyDescent="0.25">
      <c r="A228" s="33" t="str">
        <f ca="1">IFERROR(__xludf.DUMMYFUNCTION("""COMPUTED_VALUE"""),"110. Анхор")</f>
        <v>110. Анхор</v>
      </c>
      <c r="B228" s="34">
        <f ca="1">IFERROR(__xludf.DUMMYFUNCTION("""COMPUTED_VALUE"""),38335)</f>
        <v>38335</v>
      </c>
      <c r="C228" s="35" t="str">
        <f ca="1">IFERROR(__xludf.DUMMYFUNCTION("""COMPUTED_VALUE"""),"XURSANOV SAIDBEK XASAN O'G'LI")</f>
        <v>XURSANOV SAIDBEK XASAN O'G'LI</v>
      </c>
      <c r="D228" s="35" t="str">
        <f ca="1">IFERROR(__xludf.DUMMYFUNCTION("""COMPUTED_VALUE"""),"Младший пиццерист")</f>
        <v>Младший пиццерист</v>
      </c>
    </row>
    <row r="229" spans="1:4" ht="18" customHeight="1" x14ac:dyDescent="0.25">
      <c r="A229" s="33" t="str">
        <f ca="1">IFERROR(__xludf.DUMMYFUNCTION("""COMPUTED_VALUE"""),"110. Анхор")</f>
        <v>110. Анхор</v>
      </c>
      <c r="B229" s="34">
        <f ca="1">IFERROR(__xludf.DUMMYFUNCTION("""COMPUTED_VALUE"""),38789)</f>
        <v>38789</v>
      </c>
      <c r="C229" s="35" t="str">
        <f ca="1">IFERROR(__xludf.DUMMYFUNCTION("""COMPUTED_VALUE"""),"JUMABOYEVA SAYYORAXON RAXIMJON QIZI")</f>
        <v>JUMABOYEVA SAYYORAXON RAXIMJON QIZI</v>
      </c>
      <c r="D229" s="35" t="str">
        <f ca="1">IFERROR(__xludf.DUMMYFUNCTION("""COMPUTED_VALUE"""),"Повар Street")</f>
        <v>Повар Street</v>
      </c>
    </row>
    <row r="230" spans="1:4" ht="18" customHeight="1" x14ac:dyDescent="0.25">
      <c r="A230" s="33" t="str">
        <f ca="1">IFERROR(__xludf.DUMMYFUNCTION("""COMPUTED_VALUE"""),"110. Анхор")</f>
        <v>110. Анхор</v>
      </c>
      <c r="B230" s="34">
        <f ca="1">IFERROR(__xludf.DUMMYFUNCTION("""COMPUTED_VALUE"""),39404)</f>
        <v>39404</v>
      </c>
      <c r="C230" s="35" t="str">
        <f ca="1">IFERROR(__xludf.DUMMYFUNCTION("""COMPUTED_VALUE"""),"ABDUQAXXOROVA MUNISAXON ABDUSAMAD QIZI")</f>
        <v>ABDUQAXXOROVA MUNISAXON ABDUSAMAD QIZI</v>
      </c>
      <c r="D230" s="35" t="str">
        <f ca="1">IFERROR(__xludf.DUMMYFUNCTION("""COMPUTED_VALUE"""),"Универсальный сотрудник Front line")</f>
        <v>Универсальный сотрудник Front line</v>
      </c>
    </row>
    <row r="231" spans="1:4" ht="18" customHeight="1" x14ac:dyDescent="0.25">
      <c r="A231" s="33" t="str">
        <f ca="1">IFERROR(__xludf.DUMMYFUNCTION("""COMPUTED_VALUE"""),"110. Анхор")</f>
        <v>110. Анхор</v>
      </c>
      <c r="B231" s="34">
        <f ca="1">IFERROR(__xludf.DUMMYFUNCTION("""COMPUTED_VALUE"""),38635)</f>
        <v>38635</v>
      </c>
      <c r="C231" s="35" t="str">
        <f ca="1">IFERROR(__xludf.DUMMYFUNCTION("""COMPUTED_VALUE"""),"SHODIYOROV SHERXON SHERALI O'G'LI")</f>
        <v>SHODIYOROV SHERXON SHERALI O'G'LI</v>
      </c>
      <c r="D231" s="35" t="str">
        <f ca="1">IFERROR(__xludf.DUMMYFUNCTION("""COMPUTED_VALUE"""),"Повар WOK")</f>
        <v>Повар WOK</v>
      </c>
    </row>
    <row r="232" spans="1:4" ht="18" customHeight="1" x14ac:dyDescent="0.25">
      <c r="A232" s="33" t="str">
        <f ca="1">IFERROR(__xludf.DUMMYFUNCTION("""COMPUTED_VALUE"""),"110. Анхор")</f>
        <v>110. Анхор</v>
      </c>
      <c r="B232" s="34">
        <f ca="1">IFERROR(__xludf.DUMMYFUNCTION("""COMPUTED_VALUE"""),39020)</f>
        <v>39020</v>
      </c>
      <c r="C232" s="35" t="str">
        <f ca="1">IFERROR(__xludf.DUMMYFUNCTION("""COMPUTED_VALUE"""),"O'LMASOV SAN'ATBEK MUXSINJON O'G'LI")</f>
        <v>O'LMASOV SAN'ATBEK MUXSINJON O'G'LI</v>
      </c>
      <c r="D232" s="35" t="str">
        <f ca="1">IFERROR(__xludf.DUMMYFUNCTION("""COMPUTED_VALUE"""),"Стажер повар WOK")</f>
        <v>Стажер повар WOK</v>
      </c>
    </row>
    <row r="233" spans="1:4" ht="18" customHeight="1" x14ac:dyDescent="0.25">
      <c r="A233" s="33" t="str">
        <f ca="1">IFERROR(__xludf.DUMMYFUNCTION("""COMPUTED_VALUE"""),"110. Анхор")</f>
        <v>110. Анхор</v>
      </c>
      <c r="B233" s="34">
        <f ca="1">IFERROR(__xludf.DUMMYFUNCTION("""COMPUTED_VALUE"""),39073)</f>
        <v>39073</v>
      </c>
      <c r="C233" s="35" t="str">
        <f ca="1">IFERROR(__xludf.DUMMYFUNCTION("""COMPUTED_VALUE"""),"O'LMASOV ASILBEK ULUG'BEK O'G'LI")</f>
        <v>O'LMASOV ASILBEK ULUG'BEK O'G'LI</v>
      </c>
      <c r="D233" s="35" t="str">
        <f ca="1">IFERROR(__xludf.DUMMYFUNCTION("""COMPUTED_VALUE"""),"Повар WOK")</f>
        <v>Повар WOK</v>
      </c>
    </row>
    <row r="234" spans="1:4" ht="18" customHeight="1" x14ac:dyDescent="0.25">
      <c r="A234" s="33" t="str">
        <f ca="1">IFERROR(__xludf.DUMMYFUNCTION("""COMPUTED_VALUE"""),"110. Анхор")</f>
        <v>110. Анхор</v>
      </c>
      <c r="B234" s="34">
        <f ca="1">IFERROR(__xludf.DUMMYFUNCTION("""COMPUTED_VALUE"""),39025)</f>
        <v>39025</v>
      </c>
      <c r="C234" s="35" t="str">
        <f ca="1">IFERROR(__xludf.DUMMYFUNCTION("""COMPUTED_VALUE"""),"TOSHPO'LATOVA BARNO ILHOMJON QIZI")</f>
        <v>TOSHPO'LATOVA BARNO ILHOMJON QIZI</v>
      </c>
      <c r="D234" s="35" t="str">
        <f ca="1">IFERROR(__xludf.DUMMYFUNCTION("""COMPUTED_VALUE"""),"Универсальный сотрудник Front line")</f>
        <v>Универсальный сотрудник Front line</v>
      </c>
    </row>
    <row r="235" spans="1:4" ht="18" customHeight="1" x14ac:dyDescent="0.25">
      <c r="A235" s="33" t="str">
        <f ca="1">IFERROR(__xludf.DUMMYFUNCTION("""COMPUTED_VALUE"""),"110. Анхор")</f>
        <v>110. Анхор</v>
      </c>
      <c r="B235" s="34">
        <f ca="1">IFERROR(__xludf.DUMMYFUNCTION("""COMPUTED_VALUE"""),39373)</f>
        <v>39373</v>
      </c>
      <c r="C235" s="35" t="str">
        <f ca="1">IFERROR(__xludf.DUMMYFUNCTION("""COMPUTED_VALUE"""),"USMONQULOV JONIBEK SUNNAT O'G'LI")</f>
        <v>USMONQULOV JONIBEK SUNNAT O'G'LI</v>
      </c>
      <c r="D235" s="35" t="str">
        <f ca="1">IFERROR(__xludf.DUMMYFUNCTION("""COMPUTED_VALUE"""),"Младший пиццерист")</f>
        <v>Младший пиццерист</v>
      </c>
    </row>
    <row r="236" spans="1:4" ht="18" customHeight="1" x14ac:dyDescent="0.25">
      <c r="A236" s="33" t="str">
        <f ca="1">IFERROR(__xludf.DUMMYFUNCTION("""COMPUTED_VALUE"""),"110. Анхор")</f>
        <v>110. Анхор</v>
      </c>
      <c r="B236" s="34">
        <f ca="1">IFERROR(__xludf.DUMMYFUNCTION("""COMPUTED_VALUE"""),38519)</f>
        <v>38519</v>
      </c>
      <c r="C236" s="35" t="str">
        <f ca="1">IFERROR(__xludf.DUMMYFUNCTION("""COMPUTED_VALUE"""),"MUXAMMADJONOV FIRDAVS TOXIR O'G'LI")</f>
        <v>MUXAMMADJONOV FIRDAVS TOXIR O'G'LI</v>
      </c>
      <c r="D236" s="35" t="str">
        <f ca="1">IFERROR(__xludf.DUMMYFUNCTION("""COMPUTED_VALUE"""),"Стажер повар WOK")</f>
        <v>Стажер повар WOK</v>
      </c>
    </row>
    <row r="237" spans="1:4" ht="18" customHeight="1" x14ac:dyDescent="0.25">
      <c r="A237" s="33" t="str">
        <f ca="1">IFERROR(__xludf.DUMMYFUNCTION("""COMPUTED_VALUE"""),"110. Анхор")</f>
        <v>110. Анхор</v>
      </c>
      <c r="B237" s="34">
        <f ca="1">IFERROR(__xludf.DUMMYFUNCTION("""COMPUTED_VALUE"""),38061)</f>
        <v>38061</v>
      </c>
      <c r="C237" s="35" t="str">
        <f ca="1">IFERROR(__xludf.DUMMYFUNCTION("""COMPUTED_VALUE"""),"XOLIQOVA SHIRINA SHUXRATOVNA")</f>
        <v>XOLIQOVA SHIRINA SHUXRATOVNA</v>
      </c>
      <c r="D237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238" spans="1:4" ht="18" customHeight="1" x14ac:dyDescent="0.25">
      <c r="A238" s="33" t="str">
        <f ca="1">IFERROR(__xludf.DUMMYFUNCTION("""COMPUTED_VALUE"""),"110. Анхор")</f>
        <v>110. Анхор</v>
      </c>
      <c r="B238" s="34">
        <f ca="1">IFERROR(__xludf.DUMMYFUNCTION("""COMPUTED_VALUE"""),39270)</f>
        <v>39270</v>
      </c>
      <c r="C238" s="35" t="str">
        <f ca="1">IFERROR(__xludf.DUMMYFUNCTION("""COMPUTED_VALUE"""),"MANSUROV ULUG'BEK VALIJON O'G'LI")</f>
        <v>MANSUROV ULUG'BEK VALIJON O'G'LI</v>
      </c>
      <c r="D238" s="35" t="str">
        <f ca="1">IFERROR(__xludf.DUMMYFUNCTION("""COMPUTED_VALUE"""),"Младший пиццерист")</f>
        <v>Младший пиццерист</v>
      </c>
    </row>
    <row r="239" spans="1:4" ht="18" customHeight="1" x14ac:dyDescent="0.25">
      <c r="A239" s="33" t="str">
        <f ca="1">IFERROR(__xludf.DUMMYFUNCTION("""COMPUTED_VALUE"""),"110. Анхор")</f>
        <v>110. Анхор</v>
      </c>
      <c r="B239" s="34">
        <f ca="1">IFERROR(__xludf.DUMMYFUNCTION("""COMPUTED_VALUE"""),38497)</f>
        <v>38497</v>
      </c>
      <c r="C239" s="35" t="str">
        <f ca="1">IFERROR(__xludf.DUMMYFUNCTION("""COMPUTED_VALUE"""),"SOBIRXONOVA MOXICHEXRAXON BOBOXON QIZI")</f>
        <v>SOBIRXONOVA MOXICHEXRAXON BOBOXON QIZI</v>
      </c>
      <c r="D239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240" spans="1:4" ht="18" customHeight="1" x14ac:dyDescent="0.25">
      <c r="A240" s="33" t="str">
        <f ca="1">IFERROR(__xludf.DUMMYFUNCTION("""COMPUTED_VALUE"""),"110. Анхор")</f>
        <v>110. Анхор</v>
      </c>
      <c r="B240" s="34">
        <f ca="1">IFERROR(__xludf.DUMMYFUNCTION("""COMPUTED_VALUE"""),38888)</f>
        <v>38888</v>
      </c>
      <c r="C240" s="35" t="str">
        <f ca="1">IFERROR(__xludf.DUMMYFUNCTION("""COMPUTED_VALUE"""),"AHMATOV HAYYOTBEK GULBOY O'G'LI")</f>
        <v>AHMATOV HAYYOTBEK GULBOY O'G'LI</v>
      </c>
      <c r="D240" s="35" t="str">
        <f ca="1">IFERROR(__xludf.DUMMYFUNCTION("""COMPUTED_VALUE"""),"Младший пиццерист")</f>
        <v>Младший пиццерист</v>
      </c>
    </row>
    <row r="241" spans="1:4" ht="18" customHeight="1" x14ac:dyDescent="0.25">
      <c r="A241" s="33" t="str">
        <f ca="1">IFERROR(__xludf.DUMMYFUNCTION("""COMPUTED_VALUE"""),"110. Анхор")</f>
        <v>110. Анхор</v>
      </c>
      <c r="B241" s="34">
        <f ca="1">IFERROR(__xludf.DUMMYFUNCTION("""COMPUTED_VALUE"""),38918)</f>
        <v>38918</v>
      </c>
      <c r="C241" s="35" t="str">
        <f ca="1">IFERROR(__xludf.DUMMYFUNCTION("""COMPUTED_VALUE"""),"TOJIDDINOV JASURBEK AZAMATJON O'G'LI")</f>
        <v>TOJIDDINOV JASURBEK AZAMATJON O'G'LI</v>
      </c>
      <c r="D241" s="35" t="str">
        <f ca="1">IFERROR(__xludf.DUMMYFUNCTION("""COMPUTED_VALUE"""),"Стажер повар WOK")</f>
        <v>Стажер повар WOK</v>
      </c>
    </row>
    <row r="242" spans="1:4" ht="18" customHeight="1" x14ac:dyDescent="0.25">
      <c r="A242" s="33" t="str">
        <f ca="1">IFERROR(__xludf.DUMMYFUNCTION("""COMPUTED_VALUE"""),"110. Анхор")</f>
        <v>110. Анхор</v>
      </c>
      <c r="B242" s="34">
        <f ca="1">IFERROR(__xludf.DUMMYFUNCTION("""COMPUTED_VALUE"""),39462)</f>
        <v>39462</v>
      </c>
      <c r="C242" s="35" t="str">
        <f ca="1">IFERROR(__xludf.DUMMYFUNCTION("""COMPUTED_VALUE"""),"BOYBUTAYEVA IRODA ORIFJON QIZI")</f>
        <v>BOYBUTAYEVA IRODA ORIFJON QIZI</v>
      </c>
      <c r="D242" s="35" t="str">
        <f ca="1">IFERROR(__xludf.DUMMYFUNCTION("""COMPUTED_VALUE"""),"Стажер повар Street")</f>
        <v>Стажер повар Street</v>
      </c>
    </row>
    <row r="243" spans="1:4" ht="18" customHeight="1" x14ac:dyDescent="0.25">
      <c r="A243" s="33" t="str">
        <f ca="1">IFERROR(__xludf.DUMMYFUNCTION("""COMPUTED_VALUE"""),"110. Анхор")</f>
        <v>110. Анхор</v>
      </c>
      <c r="B243" s="34">
        <f ca="1">IFERROR(__xludf.DUMMYFUNCTION("""COMPUTED_VALUE"""),35096)</f>
        <v>35096</v>
      </c>
      <c r="C243" s="35" t="str">
        <f ca="1">IFERROR(__xludf.DUMMYFUNCTION("""COMPUTED_VALUE"""),"JO'RAYEV RO'ZIMAT ERMATXON O'G'LI")</f>
        <v>JO'RAYEV RO'ZIMAT ERMATXON O'G'LI</v>
      </c>
      <c r="D243" s="35" t="str">
        <f ca="1">IFERROR(__xludf.DUMMYFUNCTION("""COMPUTED_VALUE"""),"Младший пиццерист")</f>
        <v>Младший пиццерист</v>
      </c>
    </row>
    <row r="244" spans="1:4" ht="18" customHeight="1" x14ac:dyDescent="0.25">
      <c r="A244" s="33" t="str">
        <f ca="1">IFERROR(__xludf.DUMMYFUNCTION("""COMPUTED_VALUE"""),"110. Анхор")</f>
        <v>110. Анхор</v>
      </c>
      <c r="B244" s="34">
        <f ca="1">IFERROR(__xludf.DUMMYFUNCTION("""COMPUTED_VALUE"""),29155)</f>
        <v>29155</v>
      </c>
      <c r="C244" s="35" t="str">
        <f ca="1">IFERROR(__xludf.DUMMYFUNCTION("""COMPUTED_VALUE"""),"RUSTAMOVA XURSHIDA ALIJONOVNA")</f>
        <v>RUSTAMOVA XURSHIDA ALIJONOVNA</v>
      </c>
      <c r="D244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245" spans="1:4" ht="18" customHeight="1" x14ac:dyDescent="0.25">
      <c r="A245" s="33" t="str">
        <f ca="1">IFERROR(__xludf.DUMMYFUNCTION("""COMPUTED_VALUE"""),"110. Анхор")</f>
        <v>110. Анхор</v>
      </c>
      <c r="B245" s="34">
        <f ca="1">IFERROR(__xludf.DUMMYFUNCTION("""COMPUTED_VALUE"""),38939)</f>
        <v>38939</v>
      </c>
      <c r="C245" s="35" t="str">
        <f ca="1">IFERROR(__xludf.DUMMYFUNCTION("""COMPUTED_VALUE"""),"SADULLAYEVA DILBAR JOMUROD QIZI")</f>
        <v>SADULLAYEVA DILBAR JOMUROD QIZI</v>
      </c>
      <c r="D245" s="35" t="str">
        <f ca="1">IFERROR(__xludf.DUMMYFUNCTION("""COMPUTED_VALUE"""),"Младший пиццерист")</f>
        <v>Младший пиццерист</v>
      </c>
    </row>
    <row r="246" spans="1:4" ht="18" customHeight="1" x14ac:dyDescent="0.25">
      <c r="A246" s="33" t="str">
        <f ca="1">IFERROR(__xludf.DUMMYFUNCTION("""COMPUTED_VALUE"""),"110. Анхор")</f>
        <v>110. Анхор</v>
      </c>
      <c r="B246" s="34">
        <f ca="1">IFERROR(__xludf.DUMMYFUNCTION("""COMPUTED_VALUE"""),34992)</f>
        <v>34992</v>
      </c>
      <c r="C246" s="35" t="str">
        <f ca="1">IFERROR(__xludf.DUMMYFUNCTION("""COMPUTED_VALUE"""),"ASHIRALIYEVA MAXMUDA SOBIR QIZI")</f>
        <v>ASHIRALIYEVA MAXMUDA SOBIR QIZI</v>
      </c>
      <c r="D246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247" spans="1:4" ht="18" customHeight="1" x14ac:dyDescent="0.25">
      <c r="A247" s="33" t="str">
        <f ca="1">IFERROR(__xludf.DUMMYFUNCTION("""COMPUTED_VALUE"""),"110. Анхор")</f>
        <v>110. Анхор</v>
      </c>
      <c r="B247" s="34">
        <f ca="1">IFERROR(__xludf.DUMMYFUNCTION("""COMPUTED_VALUE"""),37089)</f>
        <v>37089</v>
      </c>
      <c r="C247" s="35" t="str">
        <f ca="1">IFERROR(__xludf.DUMMYFUNCTION("""COMPUTED_VALUE"""),"G'ANIYEVA MUHAYYOXON ABDUXALIL QIZI")</f>
        <v>G'ANIYEVA MUHAYYOXON ABDUXALIL QIZI</v>
      </c>
      <c r="D247" s="35" t="str">
        <f ca="1">IFERROR(__xludf.DUMMYFUNCTION("""COMPUTED_VALUE"""),"Младший пиццерист")</f>
        <v>Младший пиццерист</v>
      </c>
    </row>
    <row r="248" spans="1:4" ht="18" customHeight="1" x14ac:dyDescent="0.25">
      <c r="A248" s="33" t="str">
        <f ca="1">IFERROR(__xludf.DUMMYFUNCTION("""COMPUTED_VALUE"""),"109. Сергели")</f>
        <v>109. Сергели</v>
      </c>
      <c r="B248" s="34">
        <f ca="1">IFERROR(__xludf.DUMMYFUNCTION("""COMPUTED_VALUE"""),37305)</f>
        <v>37305</v>
      </c>
      <c r="C248" s="35" t="str">
        <f ca="1">IFERROR(__xludf.DUMMYFUNCTION("""COMPUTED_VALUE"""),"JO'RABAYEV LOCHINBEK ABDUSATTAR O'G'LI")</f>
        <v>JO'RABAYEV LOCHINBEK ABDUSATTAR O'G'LI</v>
      </c>
      <c r="D248" s="35" t="str">
        <f ca="1">IFERROR(__xludf.DUMMYFUNCTION("""COMPUTED_VALUE"""),"Управляющий")</f>
        <v>Управляющий</v>
      </c>
    </row>
    <row r="249" spans="1:4" ht="18" customHeight="1" x14ac:dyDescent="0.25">
      <c r="A249" s="33" t="str">
        <f ca="1">IFERROR(__xludf.DUMMYFUNCTION("""COMPUTED_VALUE"""),"109. Сергели")</f>
        <v>109. Сергели</v>
      </c>
      <c r="B249" s="34">
        <f ca="1">IFERROR(__xludf.DUMMYFUNCTION("""COMPUTED_VALUE"""),35880)</f>
        <v>35880</v>
      </c>
      <c r="C249" s="35" t="str">
        <f ca="1">IFERROR(__xludf.DUMMYFUNCTION("""COMPUTED_VALUE"""),"XUDOYOROV OZOD IXTIYOR O'G'LI")</f>
        <v>XUDOYOROV OZOD IXTIYOR O'G'LI</v>
      </c>
      <c r="D249" s="35" t="str">
        <f ca="1">IFERROR(__xludf.DUMMYFUNCTION("""COMPUTED_VALUE"""),"Сменный менеджер")</f>
        <v>Сменный менеджер</v>
      </c>
    </row>
    <row r="250" spans="1:4" ht="18" customHeight="1" x14ac:dyDescent="0.25">
      <c r="A250" s="33" t="str">
        <f ca="1">IFERROR(__xludf.DUMMYFUNCTION("""COMPUTED_VALUE"""),"109. Сергели")</f>
        <v>109. Сергели</v>
      </c>
      <c r="B250" s="34">
        <f ca="1">IFERROR(__xludf.DUMMYFUNCTION("""COMPUTED_VALUE"""),37399)</f>
        <v>37399</v>
      </c>
      <c r="C250" s="35" t="str">
        <f ca="1">IFERROR(__xludf.DUMMYFUNCTION("""COMPUTED_VALUE"""),"BO'RIYEV YUSUFBEK SHAVKAT O'G'LI")</f>
        <v>BO'RIYEV YUSUFBEK SHAVKAT O'G'LI</v>
      </c>
      <c r="D250" s="35" t="str">
        <f ca="1">IFERROR(__xludf.DUMMYFUNCTION("""COMPUTED_VALUE"""),"Сменный менеджер")</f>
        <v>Сменный менеджер</v>
      </c>
    </row>
    <row r="251" spans="1:4" ht="18" customHeight="1" x14ac:dyDescent="0.25">
      <c r="A251" s="33" t="str">
        <f ca="1">IFERROR(__xludf.DUMMYFUNCTION("""COMPUTED_VALUE"""),"109. Сергели")</f>
        <v>109. Сергели</v>
      </c>
      <c r="B251" s="34">
        <f ca="1">IFERROR(__xludf.DUMMYFUNCTION("""COMPUTED_VALUE"""),36183)</f>
        <v>36183</v>
      </c>
      <c r="C251" s="35" t="str">
        <f ca="1">IFERROR(__xludf.DUMMYFUNCTION("""COMPUTED_VALUE"""),"OMONTURDIYEV ELBEK IKROMJON O'G'LI")</f>
        <v>OMONTURDIYEV ELBEK IKROMJON O'G'LI</v>
      </c>
      <c r="D251" s="35" t="str">
        <f ca="1">IFERROR(__xludf.DUMMYFUNCTION("""COMPUTED_VALUE"""),"Сменный менеджер")</f>
        <v>Сменный менеджер</v>
      </c>
    </row>
    <row r="252" spans="1:4" ht="18" customHeight="1" x14ac:dyDescent="0.25">
      <c r="A252" s="33" t="str">
        <f ca="1">IFERROR(__xludf.DUMMYFUNCTION("""COMPUTED_VALUE"""),"109. Сергели")</f>
        <v>109. Сергели</v>
      </c>
      <c r="B252" s="34">
        <f ca="1">IFERROR(__xludf.DUMMYFUNCTION("""COMPUTED_VALUE"""),34819)</f>
        <v>34819</v>
      </c>
      <c r="C252" s="35" t="str">
        <f ca="1">IFERROR(__xludf.DUMMYFUNCTION("""COMPUTED_VALUE"""),"JUMAYEVA MALIKA AKRAM QIZI")</f>
        <v>JUMAYEVA MALIKA AKRAM QIZI</v>
      </c>
      <c r="D252" s="35" t="str">
        <f ca="1">IFERROR(__xludf.DUMMYFUNCTION("""COMPUTED_VALUE"""),"Лидер производствa Street")</f>
        <v>Лидер производствa Street</v>
      </c>
    </row>
    <row r="253" spans="1:4" ht="18" customHeight="1" x14ac:dyDescent="0.25">
      <c r="A253" s="33" t="str">
        <f ca="1">IFERROR(__xludf.DUMMYFUNCTION("""COMPUTED_VALUE"""),"109. Сергели")</f>
        <v>109. Сергели</v>
      </c>
      <c r="B253" s="34">
        <f ca="1">IFERROR(__xludf.DUMMYFUNCTION("""COMPUTED_VALUE"""),37994)</f>
        <v>37994</v>
      </c>
      <c r="C253" s="35" t="str">
        <f ca="1">IFERROR(__xludf.DUMMYFUNCTION("""COMPUTED_VALUE"""),"ERGASHEVA MAHLOYO HASAN QIZI")</f>
        <v>ERGASHEVA MAHLOYO HASAN QIZI</v>
      </c>
      <c r="D253" s="35" t="str">
        <f ca="1">IFERROR(__xludf.DUMMYFUNCTION("""COMPUTED_VALUE"""),"Универсальный сотрудник Front line")</f>
        <v>Универсальный сотрудник Front line</v>
      </c>
    </row>
    <row r="254" spans="1:4" ht="18" customHeight="1" x14ac:dyDescent="0.25">
      <c r="A254" s="33" t="str">
        <f ca="1">IFERROR(__xludf.DUMMYFUNCTION("""COMPUTED_VALUE"""),"109. Сергели")</f>
        <v>109. Сергели</v>
      </c>
      <c r="B254" s="34">
        <f ca="1">IFERROR(__xludf.DUMMYFUNCTION("""COMPUTED_VALUE"""),38465)</f>
        <v>38465</v>
      </c>
      <c r="C254" s="35" t="str">
        <f ca="1">IFERROR(__xludf.DUMMYFUNCTION("""COMPUTED_VALUE"""),"ERDANOV JAHONGIR UROL O'G'LI")</f>
        <v>ERDANOV JAHONGIR UROL O'G'LI</v>
      </c>
      <c r="D254" s="35" t="str">
        <f ca="1">IFERROR(__xludf.DUMMYFUNCTION("""COMPUTED_VALUE"""),"Универсальный повар Street")</f>
        <v>Универсальный повар Street</v>
      </c>
    </row>
    <row r="255" spans="1:4" ht="18" customHeight="1" x14ac:dyDescent="0.25">
      <c r="A255" s="33" t="str">
        <f ca="1">IFERROR(__xludf.DUMMYFUNCTION("""COMPUTED_VALUE"""),"109. Сергели")</f>
        <v>109. Сергели</v>
      </c>
      <c r="B255" s="34">
        <f ca="1">IFERROR(__xludf.DUMMYFUNCTION("""COMPUTED_VALUE"""),32988)</f>
        <v>32988</v>
      </c>
      <c r="C255" s="35" t="str">
        <f ca="1">IFERROR(__xludf.DUMMYFUNCTION("""COMPUTED_VALUE"""),"NASRIDDINOVA AROFAT PAXRITDIN QIZI")</f>
        <v>NASRIDDINOVA AROFAT PAXRITDIN QIZI</v>
      </c>
      <c r="D255" s="35" t="str">
        <f ca="1">IFERROR(__xludf.DUMMYFUNCTION("""COMPUTED_VALUE"""),"Универсальный сотрудник Front line")</f>
        <v>Универсальный сотрудник Front line</v>
      </c>
    </row>
    <row r="256" spans="1:4" ht="18" customHeight="1" x14ac:dyDescent="0.25">
      <c r="A256" s="33" t="str">
        <f ca="1">IFERROR(__xludf.DUMMYFUNCTION("""COMPUTED_VALUE"""),"109. Сергели")</f>
        <v>109. Сергели</v>
      </c>
      <c r="B256" s="34">
        <f ca="1">IFERROR(__xludf.DUMMYFUNCTION("""COMPUTED_VALUE"""),38825)</f>
        <v>38825</v>
      </c>
      <c r="C256" s="35" t="str">
        <f ca="1">IFERROR(__xludf.DUMMYFUNCTION("""COMPUTED_VALUE"""),"HAFIZOVA ZEBO ORIF QIZI")</f>
        <v>HAFIZOVA ZEBO ORIF QIZI</v>
      </c>
      <c r="D256" s="35" t="str">
        <f ca="1">IFERROR(__xludf.DUMMYFUNCTION("""COMPUTED_VALUE"""),"Пиццерист")</f>
        <v>Пиццерист</v>
      </c>
    </row>
    <row r="257" spans="1:4" ht="18" customHeight="1" x14ac:dyDescent="0.25">
      <c r="A257" s="33" t="str">
        <f ca="1">IFERROR(__xludf.DUMMYFUNCTION("""COMPUTED_VALUE"""),"109. Сергели")</f>
        <v>109. Сергели</v>
      </c>
      <c r="B257" s="34">
        <f ca="1">IFERROR(__xludf.DUMMYFUNCTION("""COMPUTED_VALUE"""),36709)</f>
        <v>36709</v>
      </c>
      <c r="C257" s="35" t="str">
        <f ca="1">IFERROR(__xludf.DUMMYFUNCTION("""COMPUTED_VALUE"""),"SADULLAYEVA DURDONA SOBIT QIZI")</f>
        <v>SADULLAYEVA DURDONA SOBIT QIZI</v>
      </c>
      <c r="D257" s="35" t="str">
        <f ca="1">IFERROR(__xludf.DUMMYFUNCTION("""COMPUTED_VALUE"""),"Универсал Street_Pizza")</f>
        <v>Универсал Street_Pizza</v>
      </c>
    </row>
    <row r="258" spans="1:4" ht="18" customHeight="1" x14ac:dyDescent="0.25">
      <c r="A258" s="33" t="str">
        <f ca="1">IFERROR(__xludf.DUMMYFUNCTION("""COMPUTED_VALUE"""),"109. Сергели")</f>
        <v>109. Сергели</v>
      </c>
      <c r="B258" s="34">
        <f ca="1">IFERROR(__xludf.DUMMYFUNCTION("""COMPUTED_VALUE"""),39167)</f>
        <v>39167</v>
      </c>
      <c r="C258" s="35" t="str">
        <f ca="1">IFERROR(__xludf.DUMMYFUNCTION("""COMPUTED_VALUE"""),"CHORIYEV MIRZOXID MUZAFFAR O'G'LI")</f>
        <v>CHORIYEV MIRZOXID MUZAFFAR O'G'LI</v>
      </c>
      <c r="D258" s="35" t="str">
        <f ca="1">IFERROR(__xludf.DUMMYFUNCTION("""COMPUTED_VALUE"""),"Универсальный повар WOK")</f>
        <v>Универсальный повар WOK</v>
      </c>
    </row>
    <row r="259" spans="1:4" ht="18" customHeight="1" x14ac:dyDescent="0.25">
      <c r="A259" s="33" t="str">
        <f ca="1">IFERROR(__xludf.DUMMYFUNCTION("""COMPUTED_VALUE"""),"109. Сергели")</f>
        <v>109. Сергели</v>
      </c>
      <c r="B259" s="34">
        <f ca="1">IFERROR(__xludf.DUMMYFUNCTION("""COMPUTED_VALUE"""),39432)</f>
        <v>39432</v>
      </c>
      <c r="C259" s="35" t="str">
        <f ca="1">IFERROR(__xludf.DUMMYFUNCTION("""COMPUTED_VALUE"""),"KELDIYOROV AHRORBEK OTABEK O'G'LI")</f>
        <v>KELDIYOROV AHRORBEK OTABEK O'G'LI</v>
      </c>
      <c r="D259" s="35" t="str">
        <f ca="1">IFERROR(__xludf.DUMMYFUNCTION("""COMPUTED_VALUE"""),"Универсальный повар WOK")</f>
        <v>Универсальный повар WOK</v>
      </c>
    </row>
    <row r="260" spans="1:4" ht="18" customHeight="1" x14ac:dyDescent="0.25">
      <c r="A260" s="33" t="str">
        <f ca="1">IFERROR(__xludf.DUMMYFUNCTION("""COMPUTED_VALUE"""),"109. Сергели")</f>
        <v>109. Сергели</v>
      </c>
      <c r="B260" s="34">
        <f ca="1">IFERROR(__xludf.DUMMYFUNCTION("""COMPUTED_VALUE"""),38655)</f>
        <v>38655</v>
      </c>
      <c r="C260" s="35" t="str">
        <f ca="1">IFERROR(__xludf.DUMMYFUNCTION("""COMPUTED_VALUE"""),"OG'AYEV FAZLULQADR ABDULATIF O'G'LI")</f>
        <v>OG'AYEV FAZLULQADR ABDULATIF O'G'LI</v>
      </c>
      <c r="D260" s="35" t="str">
        <f ca="1">IFERROR(__xludf.DUMMYFUNCTION("""COMPUTED_VALUE"""),"Универсальный повар WOK")</f>
        <v>Универсальный повар WOK</v>
      </c>
    </row>
    <row r="261" spans="1:4" ht="18" customHeight="1" x14ac:dyDescent="0.25">
      <c r="A261" s="33" t="str">
        <f ca="1">IFERROR(__xludf.DUMMYFUNCTION("""COMPUTED_VALUE"""),"109. Сергели")</f>
        <v>109. Сергели</v>
      </c>
      <c r="B261" s="34">
        <f ca="1">IFERROR(__xludf.DUMMYFUNCTION("""COMPUTED_VALUE"""),39288)</f>
        <v>39288</v>
      </c>
      <c r="C261" s="35" t="str">
        <f ca="1">IFERROR(__xludf.DUMMYFUNCTION("""COMPUTED_VALUE"""),"ABDURAHMONOV ASADBEK SHUGRAT O'G'LI")</f>
        <v>ABDURAHMONOV ASADBEK SHUGRAT O'G'LI</v>
      </c>
      <c r="D261" s="35" t="str">
        <f ca="1">IFERROR(__xludf.DUMMYFUNCTION("""COMPUTED_VALUE"""),"Универсальный повар Street")</f>
        <v>Универсальный повар Street</v>
      </c>
    </row>
    <row r="262" spans="1:4" ht="18" customHeight="1" x14ac:dyDescent="0.25">
      <c r="A262" s="33" t="str">
        <f ca="1">IFERROR(__xludf.DUMMYFUNCTION("""COMPUTED_VALUE"""),"109. Сергели")</f>
        <v>109. Сергели</v>
      </c>
      <c r="B262" s="34">
        <f ca="1">IFERROR(__xludf.DUMMYFUNCTION("""COMPUTED_VALUE"""),30830)</f>
        <v>30830</v>
      </c>
      <c r="C262" s="35" t="str">
        <f ca="1">IFERROR(__xludf.DUMMYFUNCTION("""COMPUTED_VALUE"""),"TURSUNOVA FERUZA TOSHPULATOVNA")</f>
        <v>TURSUNOVA FERUZA TOSHPULATOVNA</v>
      </c>
      <c r="D262" s="35" t="str">
        <f ca="1">IFERROR(__xludf.DUMMYFUNCTION("""COMPUTED_VALUE"""),"Универсальный повар WOK")</f>
        <v>Универсальный повар WOK</v>
      </c>
    </row>
    <row r="263" spans="1:4" ht="18" customHeight="1" x14ac:dyDescent="0.25">
      <c r="A263" s="33" t="str">
        <f ca="1">IFERROR(__xludf.DUMMYFUNCTION("""COMPUTED_VALUE"""),"109. Сергели")</f>
        <v>109. Сергели</v>
      </c>
      <c r="B263" s="34">
        <f ca="1">IFERROR(__xludf.DUMMYFUNCTION("""COMPUTED_VALUE"""),38670)</f>
        <v>38670</v>
      </c>
      <c r="C263" s="35" t="str">
        <f ca="1">IFERROR(__xludf.DUMMYFUNCTION("""COMPUTED_VALUE"""),"O'RINBOYEV RAVSHANBEK IBRAGIM O'G'LI")</f>
        <v>O'RINBOYEV RAVSHANBEK IBRAGIM O'G'LI</v>
      </c>
      <c r="D263" s="35" t="str">
        <f ca="1">IFERROR(__xludf.DUMMYFUNCTION("""COMPUTED_VALUE"""),"Универсальный повар WOK")</f>
        <v>Универсальный повар WOK</v>
      </c>
    </row>
    <row r="264" spans="1:4" ht="18" customHeight="1" x14ac:dyDescent="0.25">
      <c r="A264" s="33" t="str">
        <f ca="1">IFERROR(__xludf.DUMMYFUNCTION("""COMPUTED_VALUE"""),"109. Сергели")</f>
        <v>109. Сергели</v>
      </c>
      <c r="B264" s="34">
        <f ca="1">IFERROR(__xludf.DUMMYFUNCTION("""COMPUTED_VALUE"""),39051)</f>
        <v>39051</v>
      </c>
      <c r="C264" s="35" t="str">
        <f ca="1">IFERROR(__xludf.DUMMYFUNCTION("""COMPUTED_VALUE"""),"SAFAROV BARAKATULLO INOYATULLO O'G'LI")</f>
        <v>SAFAROV BARAKATULLO INOYATULLO O'G'LI</v>
      </c>
      <c r="D264" s="35" t="str">
        <f ca="1">IFERROR(__xludf.DUMMYFUNCTION("""COMPUTED_VALUE"""),"Повар WOK")</f>
        <v>Повар WOK</v>
      </c>
    </row>
    <row r="265" spans="1:4" ht="18" customHeight="1" x14ac:dyDescent="0.25">
      <c r="A265" s="33" t="str">
        <f ca="1">IFERROR(__xludf.DUMMYFUNCTION("""COMPUTED_VALUE"""),"109. Сергели")</f>
        <v>109. Сергели</v>
      </c>
      <c r="B265" s="34">
        <f ca="1">IFERROR(__xludf.DUMMYFUNCTION("""COMPUTED_VALUE"""),39150)</f>
        <v>39150</v>
      </c>
      <c r="C265" s="35" t="str">
        <f ca="1">IFERROR(__xludf.DUMMYFUNCTION("""COMPUTED_VALUE"""),"LUTFULLAYEVA SARVINOZ SHUXRATJON QIZI")</f>
        <v>LUTFULLAYEVA SARVINOZ SHUXRATJON QIZI</v>
      </c>
      <c r="D265" s="35" t="str">
        <f ca="1">IFERROR(__xludf.DUMMYFUNCTION("""COMPUTED_VALUE"""),"Сотрудник первой линии")</f>
        <v>Сотрудник первой линии</v>
      </c>
    </row>
    <row r="266" spans="1:4" ht="18" customHeight="1" x14ac:dyDescent="0.25">
      <c r="A266" s="33" t="str">
        <f ca="1">IFERROR(__xludf.DUMMYFUNCTION("""COMPUTED_VALUE"""),"109. Сергели")</f>
        <v>109. Сергели</v>
      </c>
      <c r="B266" s="34">
        <f ca="1">IFERROR(__xludf.DUMMYFUNCTION("""COMPUTED_VALUE"""),37963)</f>
        <v>37963</v>
      </c>
      <c r="C266" s="35" t="str">
        <f ca="1">IFERROR(__xludf.DUMMYFUNCTION("""COMPUTED_VALUE"""),"OCHILOV UCHQUN GULBOY O'G'LI")</f>
        <v>OCHILOV UCHQUN GULBOY O'G'LI</v>
      </c>
      <c r="D266" s="35" t="str">
        <f ca="1">IFERROR(__xludf.DUMMYFUNCTION("""COMPUTED_VALUE"""),"Пиццерист")</f>
        <v>Пиццерист</v>
      </c>
    </row>
    <row r="267" spans="1:4" ht="18" customHeight="1" x14ac:dyDescent="0.25">
      <c r="A267" s="33" t="str">
        <f ca="1">IFERROR(__xludf.DUMMYFUNCTION("""COMPUTED_VALUE"""),"109. Сергели")</f>
        <v>109. Сергели</v>
      </c>
      <c r="B267" s="34">
        <f ca="1">IFERROR(__xludf.DUMMYFUNCTION("""COMPUTED_VALUE"""),38678)</f>
        <v>38678</v>
      </c>
      <c r="C267" s="35" t="str">
        <f ca="1">IFERROR(__xludf.DUMMYFUNCTION("""COMPUTED_VALUE"""),"ABDULLAYEV SAN'ATBEK MUXAMMAD O'G'LI")</f>
        <v>ABDULLAYEV SAN'ATBEK MUXAMMAD O'G'LI</v>
      </c>
      <c r="D267" s="35" t="str">
        <f ca="1">IFERROR(__xludf.DUMMYFUNCTION("""COMPUTED_VALUE"""),"Младший пиццерист")</f>
        <v>Младший пиццерист</v>
      </c>
    </row>
    <row r="268" spans="1:4" ht="18" customHeight="1" x14ac:dyDescent="0.25">
      <c r="A268" s="33" t="str">
        <f ca="1">IFERROR(__xludf.DUMMYFUNCTION("""COMPUTED_VALUE"""),"109. Сергели")</f>
        <v>109. Сергели</v>
      </c>
      <c r="B268" s="34">
        <f ca="1">IFERROR(__xludf.DUMMYFUNCTION("""COMPUTED_VALUE"""),39232)</f>
        <v>39232</v>
      </c>
      <c r="C268" s="35" t="str">
        <f ca="1">IFERROR(__xludf.DUMMYFUNCTION("""COMPUTED_VALUE"""),"KOMILOV HOSILBEK BAHROMJON O'G'LI")</f>
        <v>KOMILOV HOSILBEK BAHROMJON O'G'LI</v>
      </c>
      <c r="D268" s="35" t="str">
        <f ca="1">IFERROR(__xludf.DUMMYFUNCTION("""COMPUTED_VALUE"""),"Универсальный повар WOK")</f>
        <v>Универсальный повар WOK</v>
      </c>
    </row>
    <row r="269" spans="1:4" ht="18" customHeight="1" x14ac:dyDescent="0.25">
      <c r="A269" s="33" t="str">
        <f ca="1">IFERROR(__xludf.DUMMYFUNCTION("""COMPUTED_VALUE"""),"109. Сергели")</f>
        <v>109. Сергели</v>
      </c>
      <c r="B269" s="34">
        <f ca="1">IFERROR(__xludf.DUMMYFUNCTION("""COMPUTED_VALUE"""),39356)</f>
        <v>39356</v>
      </c>
      <c r="C269" s="35" t="str">
        <f ca="1">IFERROR(__xludf.DUMMYFUNCTION("""COMPUTED_VALUE"""),"TAYIROV ASILBEK MUZAFFAR O'G'LI")</f>
        <v>TAYIROV ASILBEK MUZAFFAR O'G'LI</v>
      </c>
      <c r="D269" s="35" t="str">
        <f ca="1">IFERROR(__xludf.DUMMYFUNCTION("""COMPUTED_VALUE"""),"Повар Street")</f>
        <v>Повар Street</v>
      </c>
    </row>
    <row r="270" spans="1:4" ht="18" customHeight="1" x14ac:dyDescent="0.25">
      <c r="A270" s="33" t="str">
        <f ca="1">IFERROR(__xludf.DUMMYFUNCTION("""COMPUTED_VALUE"""),"109. Сергели")</f>
        <v>109. Сергели</v>
      </c>
      <c r="B270" s="34">
        <f ca="1">IFERROR(__xludf.DUMMYFUNCTION("""COMPUTED_VALUE"""),38257)</f>
        <v>38257</v>
      </c>
      <c r="C270" s="35" t="str">
        <f ca="1">IFERROR(__xludf.DUMMYFUNCTION("""COMPUTED_VALUE"""),"AVAZOVA SHIRINOY BAHODIR QIZI")</f>
        <v>AVAZOVA SHIRINOY BAHODIR QIZI</v>
      </c>
      <c r="D270" s="35" t="str">
        <f ca="1">IFERROR(__xludf.DUMMYFUNCTION("""COMPUTED_VALUE"""),"Стажер первoй линии")</f>
        <v>Стажер первoй линии</v>
      </c>
    </row>
    <row r="271" spans="1:4" ht="18" customHeight="1" x14ac:dyDescent="0.25">
      <c r="A271" s="33" t="str">
        <f ca="1">IFERROR(__xludf.DUMMYFUNCTION("""COMPUTED_VALUE"""),"109. Сергели")</f>
        <v>109. Сергели</v>
      </c>
      <c r="B271" s="34">
        <f ca="1">IFERROR(__xludf.DUMMYFUNCTION("""COMPUTED_VALUE"""),38529)</f>
        <v>38529</v>
      </c>
      <c r="C271" s="35" t="str">
        <f ca="1">IFERROR(__xludf.DUMMYFUNCTION("""COMPUTED_VALUE"""),"UMIRBAYEV JASUR ULUG'BEK ULI")</f>
        <v>UMIRBAYEV JASUR ULUG'BEK ULI</v>
      </c>
      <c r="D271" s="35" t="str">
        <f ca="1">IFERROR(__xludf.DUMMYFUNCTION("""COMPUTED_VALUE"""),"Стажер повар WOK")</f>
        <v>Стажер повар WOK</v>
      </c>
    </row>
    <row r="272" spans="1:4" ht="18" customHeight="1" x14ac:dyDescent="0.25">
      <c r="A272" s="33" t="str">
        <f ca="1">IFERROR(__xludf.DUMMYFUNCTION("""COMPUTED_VALUE"""),"109. Сергели")</f>
        <v>109. Сергели</v>
      </c>
      <c r="B272" s="34">
        <f ca="1">IFERROR(__xludf.DUMMYFUNCTION("""COMPUTED_VALUE"""),46201)</f>
        <v>46201</v>
      </c>
      <c r="C272" s="35" t="str">
        <f ca="1">IFERROR(__xludf.DUMMYFUNCTION("""COMPUTED_VALUE"""),"UKTAMOVA ENAJON NURGELDI QIZI")</f>
        <v>UKTAMOVA ENAJON NURGELDI QIZI</v>
      </c>
      <c r="D272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273" spans="1:4" ht="18" customHeight="1" x14ac:dyDescent="0.25">
      <c r="A273" s="33" t="str">
        <f ca="1">IFERROR(__xludf.DUMMYFUNCTION("""COMPUTED_VALUE"""),"109. Сергели")</f>
        <v>109. Сергели</v>
      </c>
      <c r="B273" s="34">
        <f ca="1">IFERROR(__xludf.DUMMYFUNCTION("""COMPUTED_VALUE"""),33405)</f>
        <v>33405</v>
      </c>
      <c r="C273" s="35" t="str">
        <f ca="1">IFERROR(__xludf.DUMMYFUNCTION("""COMPUTED_VALUE"""),"XONALIYEVA ZARNIGOR NISHONOVNA")</f>
        <v>XONALIYEVA ZARNIGOR NISHONOVNA</v>
      </c>
      <c r="D273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274" spans="1:4" ht="18" customHeight="1" x14ac:dyDescent="0.25">
      <c r="A274" s="33" t="str">
        <f ca="1">IFERROR(__xludf.DUMMYFUNCTION("""COMPUTED_VALUE"""),"109. Сергели")</f>
        <v>109. Сергели</v>
      </c>
      <c r="B274" s="34">
        <f ca="1">IFERROR(__xludf.DUMMYFUNCTION("""COMPUTED_VALUE"""),39477)</f>
        <v>39477</v>
      </c>
      <c r="C274" s="35" t="str">
        <f ca="1">IFERROR(__xludf.DUMMYFUNCTION("""COMPUTED_VALUE"""),"MAMATMURODOV ABDUBAKIRALI SUNATULLAYEVICH")</f>
        <v>MAMATMURODOV ABDUBAKIRALI SUNATULLAYEVICH</v>
      </c>
      <c r="D274" s="35" t="str">
        <f ca="1">IFERROR(__xludf.DUMMYFUNCTION("""COMPUTED_VALUE"""),"Стажер повар WOK")</f>
        <v>Стажер повар WOK</v>
      </c>
    </row>
    <row r="275" spans="1:4" ht="18" customHeight="1" x14ac:dyDescent="0.25">
      <c r="A275" s="33" t="str">
        <f ca="1">IFERROR(__xludf.DUMMYFUNCTION("""COMPUTED_VALUE"""),"109. Сергели")</f>
        <v>109. Сергели</v>
      </c>
      <c r="B275" s="34">
        <f ca="1">IFERROR(__xludf.DUMMYFUNCTION("""COMPUTED_VALUE"""),38289)</f>
        <v>38289</v>
      </c>
      <c r="C275" s="35" t="str">
        <f ca="1">IFERROR(__xludf.DUMMYFUNCTION("""COMPUTED_VALUE"""),"SHERBUTAYEV BAXTIYOR YOLQIN O'G'LI")</f>
        <v>SHERBUTAYEV BAXTIYOR YOLQIN O'G'LI</v>
      </c>
      <c r="D275" s="35" t="str">
        <f ca="1">IFERROR(__xludf.DUMMYFUNCTION("""COMPUTED_VALUE"""),"Стажер повар WOK")</f>
        <v>Стажер повар WOK</v>
      </c>
    </row>
    <row r="276" spans="1:4" ht="18" customHeight="1" x14ac:dyDescent="0.25">
      <c r="A276" s="37" t="str">
        <f ca="1">IFERROR(__xludf.DUMMYFUNCTION("""COMPUTED_VALUE"""),"108. Эко")</f>
        <v>108. Эко</v>
      </c>
      <c r="B276" s="34">
        <f ca="1">IFERROR(__xludf.DUMMYFUNCTION("""COMPUTED_VALUE"""),36163)</f>
        <v>36163</v>
      </c>
      <c r="C276" s="35" t="str">
        <f ca="1">IFERROR(__xludf.DUMMYFUNCTION("""COMPUTED_VALUE"""),"MIRAZIZOV JASUR UTKIRJON O'G'LI")</f>
        <v>MIRAZIZOV JASUR UTKIRJON O'G'LI</v>
      </c>
      <c r="D276" s="35" t="str">
        <f ca="1">IFERROR(__xludf.DUMMYFUNCTION("""COMPUTED_VALUE"""),"Стажер управляющий")</f>
        <v>Стажер управляющий</v>
      </c>
    </row>
    <row r="277" spans="1:4" ht="18" customHeight="1" x14ac:dyDescent="0.25">
      <c r="A277" s="37" t="str">
        <f ca="1">IFERROR(__xludf.DUMMYFUNCTION("""COMPUTED_VALUE"""),"108. Эко")</f>
        <v>108. Эко</v>
      </c>
      <c r="B277" s="34">
        <f ca="1">IFERROR(__xludf.DUMMYFUNCTION("""COMPUTED_VALUE"""),36746)</f>
        <v>36746</v>
      </c>
      <c r="C277" s="35" t="str">
        <f ca="1">IFERROR(__xludf.DUMMYFUNCTION("""COMPUTED_VALUE"""),"UTEGENOV DONIYOR ABILXASIM O'G'LI")</f>
        <v>UTEGENOV DONIYOR ABILXASIM O'G'LI</v>
      </c>
      <c r="D277" s="35" t="str">
        <f ca="1">IFERROR(__xludf.DUMMYFUNCTION("""COMPUTED_VALUE"""),"Сменный менеджер")</f>
        <v>Сменный менеджер</v>
      </c>
    </row>
    <row r="278" spans="1:4" ht="18" customHeight="1" x14ac:dyDescent="0.25">
      <c r="A278" s="37" t="str">
        <f ca="1">IFERROR(__xludf.DUMMYFUNCTION("""COMPUTED_VALUE"""),"108. Эко")</f>
        <v>108. Эко</v>
      </c>
      <c r="B278" s="34">
        <f ca="1">IFERROR(__xludf.DUMMYFUNCTION("""COMPUTED_VALUE"""),37140)</f>
        <v>37140</v>
      </c>
      <c r="C278" s="35" t="str">
        <f ca="1">IFERROR(__xludf.DUMMYFUNCTION("""COMPUTED_VALUE"""),"ABDUVAXOBOV FAZLIDDIN IKROM-O'G'LI")</f>
        <v>ABDUVAXOBOV FAZLIDDIN IKROM-O'G'LI</v>
      </c>
      <c r="D278" s="35" t="str">
        <f ca="1">IFERROR(__xludf.DUMMYFUNCTION("""COMPUTED_VALUE"""),"Сменный менеджер")</f>
        <v>Сменный менеджер</v>
      </c>
    </row>
    <row r="279" spans="1:4" ht="18" customHeight="1" x14ac:dyDescent="0.25">
      <c r="A279" s="37" t="str">
        <f ca="1">IFERROR(__xludf.DUMMYFUNCTION("""COMPUTED_VALUE"""),"108. Эко")</f>
        <v>108. Эко</v>
      </c>
      <c r="B279" s="34">
        <f ca="1">IFERROR(__xludf.DUMMYFUNCTION("""COMPUTED_VALUE"""),35413)</f>
        <v>35413</v>
      </c>
      <c r="C279" s="35" t="str">
        <f ca="1">IFERROR(__xludf.DUMMYFUNCTION("""COMPUTED_VALUE"""),"TURAKULOVA ANORA BOTIR QIZI")</f>
        <v>TURAKULOVA ANORA BOTIR QIZI</v>
      </c>
      <c r="D279" s="35" t="str">
        <f ca="1">IFERROR(__xludf.DUMMYFUNCTION("""COMPUTED_VALUE"""),"Стажер сменный менеджер")</f>
        <v>Стажер сменный менеджер</v>
      </c>
    </row>
    <row r="280" spans="1:4" ht="18" customHeight="1" x14ac:dyDescent="0.25">
      <c r="A280" s="37" t="str">
        <f ca="1">IFERROR(__xludf.DUMMYFUNCTION("""COMPUTED_VALUE"""),"108. Эко")</f>
        <v>108. Эко</v>
      </c>
      <c r="B280" s="34">
        <f ca="1">IFERROR(__xludf.DUMMYFUNCTION("""COMPUTED_VALUE"""),38555)</f>
        <v>38555</v>
      </c>
      <c r="C280" s="35" t="str">
        <f ca="1">IFERROR(__xludf.DUMMYFUNCTION("""COMPUTED_VALUE"""),"TUROBOV ABBOSBEK TOLIB O'G'LI")</f>
        <v>TUROBOV ABBOSBEK TOLIB O'G'LI</v>
      </c>
      <c r="D280" s="35" t="str">
        <f ca="1">IFERROR(__xludf.DUMMYFUNCTION("""COMPUTED_VALUE"""),"Стажер сменный менеджер")</f>
        <v>Стажер сменный менеджер</v>
      </c>
    </row>
    <row r="281" spans="1:4" ht="18" customHeight="1" x14ac:dyDescent="0.25">
      <c r="A281" s="37" t="str">
        <f ca="1">IFERROR(__xludf.DUMMYFUNCTION("""COMPUTED_VALUE"""),"108. Эко")</f>
        <v>108. Эко</v>
      </c>
      <c r="B281" s="34">
        <f ca="1">IFERROR(__xludf.DUMMYFUNCTION("""COMPUTED_VALUE"""),38924)</f>
        <v>38924</v>
      </c>
      <c r="C281" s="35" t="str">
        <f ca="1">IFERROR(__xludf.DUMMYFUNCTION("""COMPUTED_VALUE"""),"JUMABOYEV DILMUROD NE'MATJON O'G'LI")</f>
        <v>JUMABOYEV DILMUROD NE'MATJON O'G'LI</v>
      </c>
      <c r="D281" s="35" t="str">
        <f ca="1">IFERROR(__xludf.DUMMYFUNCTION("""COMPUTED_VALUE"""),"Лидер производствa Street")</f>
        <v>Лидер производствa Street</v>
      </c>
    </row>
    <row r="282" spans="1:4" ht="18" customHeight="1" x14ac:dyDescent="0.25">
      <c r="A282" s="37" t="str">
        <f ca="1">IFERROR(__xludf.DUMMYFUNCTION("""COMPUTED_VALUE"""),"108. Эко")</f>
        <v>108. Эко</v>
      </c>
      <c r="B282" s="34">
        <f ca="1">IFERROR(__xludf.DUMMYFUNCTION("""COMPUTED_VALUE"""),38128)</f>
        <v>38128</v>
      </c>
      <c r="C282" s="35" t="str">
        <f ca="1">IFERROR(__xludf.DUMMYFUNCTION("""COMPUTED_VALUE"""),"ABDUMALIKOVA MADINA PO'LAT QIZI")</f>
        <v>ABDUMALIKOVA MADINA PO'LAT QIZI</v>
      </c>
      <c r="D282" s="35" t="str">
        <f ca="1">IFERROR(__xludf.DUMMYFUNCTION("""COMPUTED_VALUE"""),"Пиццерист")</f>
        <v>Пиццерист</v>
      </c>
    </row>
    <row r="283" spans="1:4" ht="18" customHeight="1" x14ac:dyDescent="0.25">
      <c r="A283" s="37" t="str">
        <f ca="1">IFERROR(__xludf.DUMMYFUNCTION("""COMPUTED_VALUE"""),"108. Эко")</f>
        <v>108. Эко</v>
      </c>
      <c r="B283" s="34">
        <f ca="1">IFERROR(__xludf.DUMMYFUNCTION("""COMPUTED_VALUE"""),38687)</f>
        <v>38687</v>
      </c>
      <c r="C283" s="35" t="str">
        <f ca="1">IFERROR(__xludf.DUMMYFUNCTION("""COMPUTED_VALUE"""),"ABDUQAXXOROV SHOHJAXON ABDURAXIM O'G'LI")</f>
        <v>ABDUQAXXOROV SHOHJAXON ABDURAXIM O'G'LI</v>
      </c>
      <c r="D283" s="35" t="str">
        <f ca="1">IFERROR(__xludf.DUMMYFUNCTION("""COMPUTED_VALUE"""),"Лидер производства WOK")</f>
        <v>Лидер производства WOK</v>
      </c>
    </row>
    <row r="284" spans="1:4" ht="18" customHeight="1" x14ac:dyDescent="0.25">
      <c r="A284" s="37" t="str">
        <f ca="1">IFERROR(__xludf.DUMMYFUNCTION("""COMPUTED_VALUE"""),"108. Эко")</f>
        <v>108. Эко</v>
      </c>
      <c r="B284" s="34">
        <f ca="1">IFERROR(__xludf.DUMMYFUNCTION("""COMPUTED_VALUE"""),38920)</f>
        <v>38920</v>
      </c>
      <c r="C284" s="35" t="str">
        <f ca="1">IFERROR(__xludf.DUMMYFUNCTION("""COMPUTED_VALUE"""),"YORMATOVA SABINA BAXTIYOR QIZI")</f>
        <v>YORMATOVA SABINA BAXTIYOR QIZI</v>
      </c>
      <c r="D284" s="35" t="str">
        <f ca="1">IFERROR(__xludf.DUMMYFUNCTION("""COMPUTED_VALUE"""),"Универсальный повар WOK")</f>
        <v>Универсальный повар WOK</v>
      </c>
    </row>
    <row r="285" spans="1:4" ht="18" customHeight="1" x14ac:dyDescent="0.25">
      <c r="A285" s="37" t="str">
        <f ca="1">IFERROR(__xludf.DUMMYFUNCTION("""COMPUTED_VALUE"""),"108. Эко")</f>
        <v>108. Эко</v>
      </c>
      <c r="B285" s="34">
        <f ca="1">IFERROR(__xludf.DUMMYFUNCTION("""COMPUTED_VALUE"""),38562)</f>
        <v>38562</v>
      </c>
      <c r="C285" s="35" t="str">
        <f ca="1">IFERROR(__xludf.DUMMYFUNCTION("""COMPUTED_VALUE"""),"KAMALOVA MAFTUNA AZAMATOVNA")</f>
        <v>KAMALOVA MAFTUNA AZAMATOVNA</v>
      </c>
      <c r="D285" s="35" t="str">
        <f ca="1">IFERROR(__xludf.DUMMYFUNCTION("""COMPUTED_VALUE"""),"Универсальный сотрудник Front line")</f>
        <v>Универсальный сотрудник Front line</v>
      </c>
    </row>
    <row r="286" spans="1:4" ht="18" customHeight="1" x14ac:dyDescent="0.25">
      <c r="A286" s="37" t="str">
        <f ca="1">IFERROR(__xludf.DUMMYFUNCTION("""COMPUTED_VALUE"""),"108. Эко")</f>
        <v>108. Эко</v>
      </c>
      <c r="B286" s="34">
        <f ca="1">IFERROR(__xludf.DUMMYFUNCTION("""COMPUTED_VALUE"""),38993)</f>
        <v>38993</v>
      </c>
      <c r="C286" s="35" t="str">
        <f ca="1">IFERROR(__xludf.DUMMYFUNCTION("""COMPUTED_VALUE"""),"AZIMOV RO'ZIMUHAMMAD ISROILJON O'G'LI")</f>
        <v>AZIMOV RO'ZIMUHAMMAD ISROILJON O'G'LI</v>
      </c>
      <c r="D286" s="35" t="str">
        <f ca="1">IFERROR(__xludf.DUMMYFUNCTION("""COMPUTED_VALUE"""),"Универсальный повар WOK")</f>
        <v>Универсальный повар WOK</v>
      </c>
    </row>
    <row r="287" spans="1:4" ht="18" customHeight="1" x14ac:dyDescent="0.25">
      <c r="A287" s="37" t="str">
        <f ca="1">IFERROR(__xludf.DUMMYFUNCTION("""COMPUTED_VALUE"""),"108. Эко")</f>
        <v>108. Эко</v>
      </c>
      <c r="B287" s="34">
        <f ca="1">IFERROR(__xludf.DUMMYFUNCTION("""COMPUTED_VALUE"""),38813)</f>
        <v>38813</v>
      </c>
      <c r="C287" s="35" t="str">
        <f ca="1">IFERROR(__xludf.DUMMYFUNCTION("""COMPUTED_VALUE"""),"ABDUSAMATOVA SABINABONU JAMSHID QIZI")</f>
        <v>ABDUSAMATOVA SABINABONU JAMSHID QIZI</v>
      </c>
      <c r="D287" s="35" t="str">
        <f ca="1">IFERROR(__xludf.DUMMYFUNCTION("""COMPUTED_VALUE"""),"Лидер обслуживания")</f>
        <v>Лидер обслуживания</v>
      </c>
    </row>
    <row r="288" spans="1:4" ht="18" customHeight="1" x14ac:dyDescent="0.25">
      <c r="A288" s="37" t="str">
        <f ca="1">IFERROR(__xludf.DUMMYFUNCTION("""COMPUTED_VALUE"""),"108. Эко")</f>
        <v>108. Эко</v>
      </c>
      <c r="B288" s="34">
        <f ca="1">IFERROR(__xludf.DUMMYFUNCTION("""COMPUTED_VALUE"""),29024)</f>
        <v>29024</v>
      </c>
      <c r="C288" s="35" t="str">
        <f ca="1">IFERROR(__xludf.DUMMYFUNCTION("""COMPUTED_VALUE"""),"AXMADJANOVA ZILOLA XAMIDULLAYEVNA")</f>
        <v>AXMADJANOVA ZILOLA XAMIDULLAYEVNA</v>
      </c>
      <c r="D288" s="35" t="str">
        <f ca="1">IFERROR(__xludf.DUMMYFUNCTION("""COMPUTED_VALUE"""),"Старший рабочий кухни (Техничка, мойка)")</f>
        <v>Старший рабочий кухни (Техничка, мойка)</v>
      </c>
    </row>
    <row r="289" spans="1:4" ht="18" customHeight="1" x14ac:dyDescent="0.25">
      <c r="A289" s="37" t="str">
        <f ca="1">IFERROR(__xludf.DUMMYFUNCTION("""COMPUTED_VALUE"""),"108. Эко")</f>
        <v>108. Эко</v>
      </c>
      <c r="B289" s="34">
        <f ca="1">IFERROR(__xludf.DUMMYFUNCTION("""COMPUTED_VALUE"""),38789)</f>
        <v>38789</v>
      </c>
      <c r="C289" s="35" t="str">
        <f ca="1">IFERROR(__xludf.DUMMYFUNCTION("""COMPUTED_VALUE"""),"BERDIYEVA XUMORA G'OLIBJON QIZI")</f>
        <v>BERDIYEVA XUMORA G'OLIBJON QIZI</v>
      </c>
      <c r="D289" s="35" t="str">
        <f ca="1">IFERROR(__xludf.DUMMYFUNCTION("""COMPUTED_VALUE"""),"Универсальный сотрудник Front line")</f>
        <v>Универсальный сотрудник Front line</v>
      </c>
    </row>
    <row r="290" spans="1:4" ht="18" customHeight="1" x14ac:dyDescent="0.25">
      <c r="A290" s="37" t="str">
        <f ca="1">IFERROR(__xludf.DUMMYFUNCTION("""COMPUTED_VALUE"""),"108. Эко")</f>
        <v>108. Эко</v>
      </c>
      <c r="B290" s="34">
        <f ca="1">IFERROR(__xludf.DUMMYFUNCTION("""COMPUTED_VALUE"""),37975)</f>
        <v>37975</v>
      </c>
      <c r="C290" s="35" t="str">
        <f ca="1">IFERROR(__xludf.DUMMYFUNCTION("""COMPUTED_VALUE"""),"FARXODOVA RUXSORA DILSHOD QIZI")</f>
        <v>FARXODOVA RUXSORA DILSHOD QIZI</v>
      </c>
      <c r="D290" s="35" t="str">
        <f ca="1">IFERROR(__xludf.DUMMYFUNCTION("""COMPUTED_VALUE"""),"Универсальный сотрудник Front line")</f>
        <v>Универсальный сотрудник Front line</v>
      </c>
    </row>
    <row r="291" spans="1:4" ht="18" customHeight="1" x14ac:dyDescent="0.25">
      <c r="A291" s="37" t="str">
        <f ca="1">IFERROR(__xludf.DUMMYFUNCTION("""COMPUTED_VALUE"""),"108. Эко")</f>
        <v>108. Эко</v>
      </c>
      <c r="B291" s="34">
        <f ca="1">IFERROR(__xludf.DUMMYFUNCTION("""COMPUTED_VALUE"""),37404)</f>
        <v>37404</v>
      </c>
      <c r="C291" s="35" t="str">
        <f ca="1">IFERROR(__xludf.DUMMYFUNCTION("""COMPUTED_VALUE"""),"MASHRABOV SHAXZOD SHAROF O'G'LI")</f>
        <v>MASHRABOV SHAXZOD SHAROF O'G'LI</v>
      </c>
      <c r="D291" s="35" t="str">
        <f ca="1">IFERROR(__xludf.DUMMYFUNCTION("""COMPUTED_VALUE"""),"Лидер производствa pizza")</f>
        <v>Лидер производствa pizza</v>
      </c>
    </row>
    <row r="292" spans="1:4" ht="18" customHeight="1" x14ac:dyDescent="0.25">
      <c r="A292" s="37" t="str">
        <f ca="1">IFERROR(__xludf.DUMMYFUNCTION("""COMPUTED_VALUE"""),"108. Эко")</f>
        <v>108. Эко</v>
      </c>
      <c r="B292" s="34">
        <f ca="1">IFERROR(__xludf.DUMMYFUNCTION("""COMPUTED_VALUE"""),38453)</f>
        <v>38453</v>
      </c>
      <c r="C292" s="35" t="str">
        <f ca="1">IFERROR(__xludf.DUMMYFUNCTION("""COMPUTED_VALUE"""),"NORQULOV ABDULAZIZ SHAVKAT O'G'LI")</f>
        <v>NORQULOV ABDULAZIZ SHAVKAT O'G'LI</v>
      </c>
      <c r="D292" s="35" t="str">
        <f ca="1">IFERROR(__xludf.DUMMYFUNCTION("""COMPUTED_VALUE"""),"Универсальный повар Street")</f>
        <v>Универсальный повар Street</v>
      </c>
    </row>
    <row r="293" spans="1:4" ht="18" customHeight="1" x14ac:dyDescent="0.25">
      <c r="A293" s="37" t="str">
        <f ca="1">IFERROR(__xludf.DUMMYFUNCTION("""COMPUTED_VALUE"""),"108. Эко")</f>
        <v>108. Эко</v>
      </c>
      <c r="B293" s="34">
        <f ca="1">IFERROR(__xludf.DUMMYFUNCTION("""COMPUTED_VALUE"""),27338)</f>
        <v>27338</v>
      </c>
      <c r="C293" s="35" t="str">
        <f ca="1">IFERROR(__xludf.DUMMYFUNCTION("""COMPUTED_VALUE"""),"OMONOVA DILFUZA ABDUKAXXAROVNA")</f>
        <v>OMONOVA DILFUZA ABDUKAXXAROVNA</v>
      </c>
      <c r="D293" s="35" t="str">
        <f ca="1">IFERROR(__xludf.DUMMYFUNCTION("""COMPUTED_VALUE"""),"Старший рабочий кухни (Техничка, мойка)")</f>
        <v>Старший рабочий кухни (Техничка, мойка)</v>
      </c>
    </row>
    <row r="294" spans="1:4" ht="18" customHeight="1" x14ac:dyDescent="0.25">
      <c r="A294" s="37" t="str">
        <f ca="1">IFERROR(__xludf.DUMMYFUNCTION("""COMPUTED_VALUE"""),"108. Эко")</f>
        <v>108. Эко</v>
      </c>
      <c r="B294" s="34">
        <f ca="1">IFERROR(__xludf.DUMMYFUNCTION("""COMPUTED_VALUE"""),38354)</f>
        <v>38354</v>
      </c>
      <c r="C294" s="35" t="str">
        <f ca="1">IFERROR(__xludf.DUMMYFUNCTION("""COMPUTED_VALUE"""),"TUYCHIYEV ILHOMJON MUHIDDIN O'G'LI")</f>
        <v>TUYCHIYEV ILHOMJON MUHIDDIN O'G'LI</v>
      </c>
      <c r="D294" s="35" t="str">
        <f ca="1">IFERROR(__xludf.DUMMYFUNCTION("""COMPUTED_VALUE"""),"Универсальный повар WOK")</f>
        <v>Универсальный повар WOK</v>
      </c>
    </row>
    <row r="295" spans="1:4" ht="18" customHeight="1" x14ac:dyDescent="0.25">
      <c r="A295" s="37" t="str">
        <f ca="1">IFERROR(__xludf.DUMMYFUNCTION("""COMPUTED_VALUE"""),"108. Эко")</f>
        <v>108. Эко</v>
      </c>
      <c r="B295" s="34">
        <f ca="1">IFERROR(__xludf.DUMMYFUNCTION("""COMPUTED_VALUE"""),38360)</f>
        <v>38360</v>
      </c>
      <c r="C295" s="35" t="str">
        <f ca="1">IFERROR(__xludf.DUMMYFUNCTION("""COMPUTED_VALUE"""),"ISOQULOVA RUXSHONA BEKZOD QIZI")</f>
        <v>ISOQULOVA RUXSHONA BEKZOD QIZI</v>
      </c>
      <c r="D295" s="35" t="str">
        <f ca="1">IFERROR(__xludf.DUMMYFUNCTION("""COMPUTED_VALUE"""),"Универсальный сотрудник Front line")</f>
        <v>Универсальный сотрудник Front line</v>
      </c>
    </row>
    <row r="296" spans="1:4" ht="18" customHeight="1" x14ac:dyDescent="0.25">
      <c r="A296" s="37" t="str">
        <f ca="1">IFERROR(__xludf.DUMMYFUNCTION("""COMPUTED_VALUE"""),"108. Эко")</f>
        <v>108. Эко</v>
      </c>
      <c r="B296" s="34">
        <f ca="1">IFERROR(__xludf.DUMMYFUNCTION("""COMPUTED_VALUE"""),35837)</f>
        <v>35837</v>
      </c>
      <c r="C296" s="35" t="str">
        <f ca="1">IFERROR(__xludf.DUMMYFUNCTION("""COMPUTED_VALUE"""),"PARASHUTIN VIKTOR IVANOVICH")</f>
        <v>PARASHUTIN VIKTOR IVANOVICH</v>
      </c>
      <c r="D296" s="35" t="str">
        <f ca="1">IFERROR(__xludf.DUMMYFUNCTION("""COMPUTED_VALUE"""),"Пиццерист")</f>
        <v>Пиццерист</v>
      </c>
    </row>
    <row r="297" spans="1:4" ht="18" customHeight="1" x14ac:dyDescent="0.25">
      <c r="A297" s="37" t="str">
        <f ca="1">IFERROR(__xludf.DUMMYFUNCTION("""COMPUTED_VALUE"""),"108. Эко")</f>
        <v>108. Эко</v>
      </c>
      <c r="B297" s="34">
        <f ca="1">IFERROR(__xludf.DUMMYFUNCTION("""COMPUTED_VALUE"""),37383)</f>
        <v>37383</v>
      </c>
      <c r="C297" s="35" t="str">
        <f ca="1">IFERROR(__xludf.DUMMYFUNCTION("""COMPUTED_VALUE"""),"RAMAZONOVA MUHAYYO OSTONQUL QIZI")</f>
        <v>RAMAZONOVA MUHAYYO OSTONQUL QIZI</v>
      </c>
      <c r="D297" s="35" t="str">
        <f ca="1">IFERROR(__xludf.DUMMYFUNCTION("""COMPUTED_VALUE"""),"Универсал Street_Pizza")</f>
        <v>Универсал Street_Pizza</v>
      </c>
    </row>
    <row r="298" spans="1:4" ht="18" customHeight="1" x14ac:dyDescent="0.25">
      <c r="A298" s="37" t="str">
        <f ca="1">IFERROR(__xludf.DUMMYFUNCTION("""COMPUTED_VALUE"""),"108. Эко")</f>
        <v>108. Эко</v>
      </c>
      <c r="B298" s="34">
        <f ca="1">IFERROR(__xludf.DUMMYFUNCTION("""COMPUTED_VALUE"""),38940)</f>
        <v>38940</v>
      </c>
      <c r="C298" s="35" t="str">
        <f ca="1">IFERROR(__xludf.DUMMYFUNCTION("""COMPUTED_VALUE"""),"BALTABOYEV JAVOHIR SAN'AT O'G'LI")</f>
        <v>BALTABOYEV JAVOHIR SAN'AT O'G'LI</v>
      </c>
      <c r="D298" s="35" t="str">
        <f ca="1">IFERROR(__xludf.DUMMYFUNCTION("""COMPUTED_VALUE"""),"Универсальный повар WOK")</f>
        <v>Универсальный повар WOK</v>
      </c>
    </row>
    <row r="299" spans="1:4" ht="18" customHeight="1" x14ac:dyDescent="0.25">
      <c r="A299" s="37" t="str">
        <f ca="1">IFERROR(__xludf.DUMMYFUNCTION("""COMPUTED_VALUE"""),"108. Эко")</f>
        <v>108. Эко</v>
      </c>
      <c r="B299" s="34">
        <f ca="1">IFERROR(__xludf.DUMMYFUNCTION("""COMPUTED_VALUE"""),38952)</f>
        <v>38952</v>
      </c>
      <c r="C299" s="35" t="str">
        <f ca="1">IFERROR(__xludf.DUMMYFUNCTION("""COMPUTED_VALUE"""),"TO'XTAPO'LATOV BURXON XOLMAT O'G'LI")</f>
        <v>TO'XTAPO'LATOV BURXON XOLMAT O'G'LI</v>
      </c>
      <c r="D299" s="35" t="str">
        <f ca="1">IFERROR(__xludf.DUMMYFUNCTION("""COMPUTED_VALUE"""),"Универсал Street_Pizza")</f>
        <v>Универсал Street_Pizza</v>
      </c>
    </row>
    <row r="300" spans="1:4" ht="18" customHeight="1" x14ac:dyDescent="0.25">
      <c r="A300" s="37" t="str">
        <f ca="1">IFERROR(__xludf.DUMMYFUNCTION("""COMPUTED_VALUE"""),"108. Эко")</f>
        <v>108. Эко</v>
      </c>
      <c r="B300" s="34">
        <f ca="1">IFERROR(__xludf.DUMMYFUNCTION("""COMPUTED_VALUE"""),37823)</f>
        <v>37823</v>
      </c>
      <c r="C300" s="35" t="str">
        <f ca="1">IFERROR(__xludf.DUMMYFUNCTION("""COMPUTED_VALUE"""),"NIZOMOV ASILBEK IKROM O'G'LI")</f>
        <v>NIZOMOV ASILBEK IKROM O'G'LI</v>
      </c>
      <c r="D300" s="35" t="str">
        <f ca="1">IFERROR(__xludf.DUMMYFUNCTION("""COMPUTED_VALUE"""),"Универсальный повар WOK")</f>
        <v>Универсальный повар WOK</v>
      </c>
    </row>
    <row r="301" spans="1:4" ht="18" customHeight="1" x14ac:dyDescent="0.25">
      <c r="A301" s="38" t="str">
        <f ca="1">IFERROR(__xludf.DUMMYFUNCTION("""COMPUTED_VALUE"""),"108. Эко")</f>
        <v>108. Эко</v>
      </c>
      <c r="B301" s="38">
        <f ca="1">IFERROR(__xludf.DUMMYFUNCTION("""COMPUTED_VALUE"""),39005)</f>
        <v>39005</v>
      </c>
      <c r="C301" s="36" t="str">
        <f ca="1">IFERROR(__xludf.DUMMYFUNCTION("""COMPUTED_VALUE"""),"QULDOSHEVA RUZIGUL BAXTIYOR QIZI")</f>
        <v>QULDOSHEVA RUZIGUL BAXTIYOR QIZI</v>
      </c>
      <c r="D301" s="36" t="str">
        <f ca="1">IFERROR(__xludf.DUMMYFUNCTION("""COMPUTED_VALUE"""),"Универсальный повар WOK")</f>
        <v>Универсальный повар WOK</v>
      </c>
    </row>
    <row r="302" spans="1:4" ht="18" customHeight="1" x14ac:dyDescent="0.25">
      <c r="A302" s="37" t="str">
        <f ca="1">IFERROR(__xludf.DUMMYFUNCTION("""COMPUTED_VALUE"""),"108. Эко")</f>
        <v>108. Эко</v>
      </c>
      <c r="B302" s="34">
        <f ca="1">IFERROR(__xludf.DUMMYFUNCTION("""COMPUTED_VALUE"""),39215)</f>
        <v>39215</v>
      </c>
      <c r="C302" s="35" t="str">
        <f ca="1">IFERROR(__xludf.DUMMYFUNCTION("""COMPUTED_VALUE"""),"TURSUNOVA DILSO'Z ABROR QIZI")</f>
        <v>TURSUNOVA DILSO'Z ABROR QIZI</v>
      </c>
      <c r="D302" s="35" t="str">
        <f ca="1">IFERROR(__xludf.DUMMYFUNCTION("""COMPUTED_VALUE"""),"Сотрудник первой линии")</f>
        <v>Сотрудник первой линии</v>
      </c>
    </row>
    <row r="303" spans="1:4" ht="18" customHeight="1" x14ac:dyDescent="0.25">
      <c r="A303" s="37" t="str">
        <f ca="1">IFERROR(__xludf.DUMMYFUNCTION("""COMPUTED_VALUE"""),"108. Эко")</f>
        <v>108. Эко</v>
      </c>
      <c r="B303" s="34">
        <f ca="1">IFERROR(__xludf.DUMMYFUNCTION("""COMPUTED_VALUE"""),38428)</f>
        <v>38428</v>
      </c>
      <c r="C303" s="35" t="str">
        <f ca="1">IFERROR(__xludf.DUMMYFUNCTION("""COMPUTED_VALUE"""),"JO'RAYEV ASILJON MUHIDDIN O'G'LI")</f>
        <v>JO'RAYEV ASILJON MUHIDDIN O'G'LI</v>
      </c>
      <c r="D303" s="35" t="str">
        <f ca="1">IFERROR(__xludf.DUMMYFUNCTION("""COMPUTED_VALUE"""),"Универсальный сотрудник Front line")</f>
        <v>Универсальный сотрудник Front line</v>
      </c>
    </row>
    <row r="304" spans="1:4" ht="18" customHeight="1" x14ac:dyDescent="0.25">
      <c r="A304" s="37" t="str">
        <f ca="1">IFERROR(__xludf.DUMMYFUNCTION("""COMPUTED_VALUE"""),"108. Эко")</f>
        <v>108. Эко</v>
      </c>
      <c r="B304" s="34">
        <f ca="1">IFERROR(__xludf.DUMMYFUNCTION("""COMPUTED_VALUE"""),37624)</f>
        <v>37624</v>
      </c>
      <c r="C304" s="35" t="str">
        <f ca="1">IFERROR(__xludf.DUMMYFUNCTION("""COMPUTED_VALUE"""),"ABDUMUTALOV BOTIRBEK OTABEK O'G'LI")</f>
        <v>ABDUMUTALOV BOTIRBEK OTABEK O'G'LI</v>
      </c>
      <c r="D304" s="35" t="str">
        <f ca="1">IFERROR(__xludf.DUMMYFUNCTION("""COMPUTED_VALUE"""),"Лидер производства WOK")</f>
        <v>Лидер производства WOK</v>
      </c>
    </row>
    <row r="305" spans="1:4" ht="18" customHeight="1" x14ac:dyDescent="0.25">
      <c r="A305" s="37" t="str">
        <f ca="1">IFERROR(__xludf.DUMMYFUNCTION("""COMPUTED_VALUE"""),"108. Эко")</f>
        <v>108. Эко</v>
      </c>
      <c r="B305" s="34">
        <f ca="1">IFERROR(__xludf.DUMMYFUNCTION("""COMPUTED_VALUE"""),39234)</f>
        <v>39234</v>
      </c>
      <c r="C305" s="35" t="str">
        <f ca="1">IFERROR(__xludf.DUMMYFUNCTION("""COMPUTED_VALUE"""),"BAXTIYOROVA DILDORAXON DAVRON QIZI")</f>
        <v>BAXTIYOROVA DILDORAXON DAVRON QIZI</v>
      </c>
      <c r="D305" s="35" t="str">
        <f ca="1">IFERROR(__xludf.DUMMYFUNCTION("""COMPUTED_VALUE"""),"Универсальный сотрудник Front line")</f>
        <v>Универсальный сотрудник Front line</v>
      </c>
    </row>
    <row r="306" spans="1:4" ht="18" customHeight="1" x14ac:dyDescent="0.25">
      <c r="A306" s="37" t="str">
        <f ca="1">IFERROR(__xludf.DUMMYFUNCTION("""COMPUTED_VALUE"""),"108. Эко")</f>
        <v>108. Эко</v>
      </c>
      <c r="B306" s="34">
        <f ca="1">IFERROR(__xludf.DUMMYFUNCTION("""COMPUTED_VALUE"""),38202)</f>
        <v>38202</v>
      </c>
      <c r="C306" s="35" t="str">
        <f ca="1">IFERROR(__xludf.DUMMYFUNCTION("""COMPUTED_VALUE"""),"MAVLONOV SAMANDAR BEKMUROT O'G'LI")</f>
        <v>MAVLONOV SAMANDAR BEKMUROT O'G'LI</v>
      </c>
      <c r="D306" s="35" t="str">
        <f ca="1">IFERROR(__xludf.DUMMYFUNCTION("""COMPUTED_VALUE"""),"Универсал повар WOK")</f>
        <v>Универсал повар WOK</v>
      </c>
    </row>
    <row r="307" spans="1:4" ht="18" customHeight="1" x14ac:dyDescent="0.25">
      <c r="A307" s="37" t="str">
        <f ca="1">IFERROR(__xludf.DUMMYFUNCTION("""COMPUTED_VALUE"""),"108. Эко")</f>
        <v>108. Эко</v>
      </c>
      <c r="B307" s="34">
        <f ca="1">IFERROR(__xludf.DUMMYFUNCTION("""COMPUTED_VALUE"""),34764)</f>
        <v>34764</v>
      </c>
      <c r="C307" s="35" t="str">
        <f ca="1">IFERROR(__xludf.DUMMYFUNCTION("""COMPUTED_VALUE"""),"QOZOQBOYEV FAXRIDDIN SHUKUR O'G'LI")</f>
        <v>QOZOQBOYEV FAXRIDDIN SHUKUR O'G'LI</v>
      </c>
      <c r="D307" s="35" t="str">
        <f ca="1">IFERROR(__xludf.DUMMYFUNCTION("""COMPUTED_VALUE"""),"Универсал Street_Pizza")</f>
        <v>Универсал Street_Pizza</v>
      </c>
    </row>
    <row r="308" spans="1:4" ht="18" customHeight="1" x14ac:dyDescent="0.25">
      <c r="A308" s="37" t="str">
        <f ca="1">IFERROR(__xludf.DUMMYFUNCTION("""COMPUTED_VALUE"""),"108. Эко")</f>
        <v>108. Эко</v>
      </c>
      <c r="B308" s="34">
        <f ca="1">IFERROR(__xludf.DUMMYFUNCTION("""COMPUTED_VALUE"""),38210)</f>
        <v>38210</v>
      </c>
      <c r="C308" s="35" t="str">
        <f ca="1">IFERROR(__xludf.DUMMYFUNCTION("""COMPUTED_VALUE"""),"ABDURAHMANOV SARDOR SHAVKAT O'G'LI")</f>
        <v>ABDURAHMANOV SARDOR SHAVKAT O'G'LI</v>
      </c>
      <c r="D308" s="35" t="str">
        <f ca="1">IFERROR(__xludf.DUMMYFUNCTION("""COMPUTED_VALUE"""),"Универсальный повар WOK")</f>
        <v>Универсальный повар WOK</v>
      </c>
    </row>
    <row r="309" spans="1:4" ht="18" customHeight="1" x14ac:dyDescent="0.25">
      <c r="A309" s="37" t="str">
        <f ca="1">IFERROR(__xludf.DUMMYFUNCTION("""COMPUTED_VALUE"""),"108. Эко")</f>
        <v>108. Эко</v>
      </c>
      <c r="B309" s="34">
        <f ca="1">IFERROR(__xludf.DUMMYFUNCTION("""COMPUTED_VALUE"""),39253)</f>
        <v>39253</v>
      </c>
      <c r="C309" s="35" t="str">
        <f ca="1">IFERROR(__xludf.DUMMYFUNCTION("""COMPUTED_VALUE"""),"KURBANOV MUXIDDIN OTABEK O'G'LI")</f>
        <v>KURBANOV MUXIDDIN OTABEK O'G'LI</v>
      </c>
      <c r="D309" s="35" t="str">
        <f ca="1">IFERROR(__xludf.DUMMYFUNCTION("""COMPUTED_VALUE"""),"Младший пиццерист")</f>
        <v>Младший пиццерист</v>
      </c>
    </row>
    <row r="310" spans="1:4" ht="18" customHeight="1" x14ac:dyDescent="0.25">
      <c r="A310" s="37" t="str">
        <f ca="1">IFERROR(__xludf.DUMMYFUNCTION("""COMPUTED_VALUE"""),"108. Эко")</f>
        <v>108. Эко</v>
      </c>
      <c r="B310" s="34">
        <f ca="1">IFERROR(__xludf.DUMMYFUNCTION("""COMPUTED_VALUE"""),39275)</f>
        <v>39275</v>
      </c>
      <c r="C310" s="35" t="str">
        <f ca="1">IFERROR(__xludf.DUMMYFUNCTION("""COMPUTED_VALUE"""),"KAZAKBAYEVA SHABBONA XOTAM QIZI")</f>
        <v>KAZAKBAYEVA SHABBONA XOTAM QIZI</v>
      </c>
      <c r="D310" s="35" t="str">
        <f ca="1">IFERROR(__xludf.DUMMYFUNCTION("""COMPUTED_VALUE"""),"Универсальный сотрудник Front line")</f>
        <v>Универсальный сотрудник Front line</v>
      </c>
    </row>
    <row r="311" spans="1:4" ht="18" customHeight="1" x14ac:dyDescent="0.25">
      <c r="A311" s="37" t="str">
        <f ca="1">IFERROR(__xludf.DUMMYFUNCTION("""COMPUTED_VALUE"""),"108. Эко")</f>
        <v>108. Эко</v>
      </c>
      <c r="B311" s="34">
        <f ca="1">IFERROR(__xludf.DUMMYFUNCTION("""COMPUTED_VALUE"""),38895)</f>
        <v>38895</v>
      </c>
      <c r="C311" s="35" t="str">
        <f ca="1">IFERROR(__xludf.DUMMYFUNCTION("""COMPUTED_VALUE"""),"ERKINJONOVA SHAHINABONU FERUZJON QIZI")</f>
        <v>ERKINJONOVA SHAHINABONU FERUZJON QIZI</v>
      </c>
      <c r="D311" s="35" t="str">
        <f ca="1">IFERROR(__xludf.DUMMYFUNCTION("""COMPUTED_VALUE"""),"Универсальный сотрудник Front line")</f>
        <v>Универсальный сотрудник Front line</v>
      </c>
    </row>
    <row r="312" spans="1:4" ht="18" customHeight="1" x14ac:dyDescent="0.25">
      <c r="A312" s="37" t="str">
        <f ca="1">IFERROR(__xludf.DUMMYFUNCTION("""COMPUTED_VALUE"""),"108. Эко")</f>
        <v>108. Эко</v>
      </c>
      <c r="B312" s="34">
        <f ca="1">IFERROR(__xludf.DUMMYFUNCTION("""COMPUTED_VALUE"""),38462)</f>
        <v>38462</v>
      </c>
      <c r="C312" s="35" t="str">
        <f ca="1">IFERROR(__xludf.DUMMYFUNCTION("""COMPUTED_VALUE"""),"NORBO'TAYEVA MUXLISA AKMAL QIZI")</f>
        <v>NORBO'TAYEVA MUXLISA AKMAL QIZI</v>
      </c>
      <c r="D312" s="35" t="str">
        <f ca="1">IFERROR(__xludf.DUMMYFUNCTION("""COMPUTED_VALUE"""),"Кассир")</f>
        <v>Кассир</v>
      </c>
    </row>
    <row r="313" spans="1:4" ht="18" customHeight="1" x14ac:dyDescent="0.25">
      <c r="A313" s="37" t="str">
        <f ca="1">IFERROR(__xludf.DUMMYFUNCTION("""COMPUTED_VALUE"""),"108. Эко")</f>
        <v>108. Эко</v>
      </c>
      <c r="B313" s="34">
        <f ca="1">IFERROR(__xludf.DUMMYFUNCTION("""COMPUTED_VALUE"""),39297)</f>
        <v>39297</v>
      </c>
      <c r="C313" s="35" t="str">
        <f ca="1">IFERROR(__xludf.DUMMYFUNCTION("""COMPUTED_VALUE"""),"NORQULOV TEMURBEK OTABEK O'G'LI")</f>
        <v>NORQULOV TEMURBEK OTABEK O'G'LI</v>
      </c>
      <c r="D313" s="35" t="str">
        <f ca="1">IFERROR(__xludf.DUMMYFUNCTION("""COMPUTED_VALUE"""),"Младший пиццерист")</f>
        <v>Младший пиццерист</v>
      </c>
    </row>
    <row r="314" spans="1:4" ht="18" customHeight="1" x14ac:dyDescent="0.25">
      <c r="A314" s="37" t="str">
        <f ca="1">IFERROR(__xludf.DUMMYFUNCTION("""COMPUTED_VALUE"""),"108. Эко")</f>
        <v>108. Эко</v>
      </c>
      <c r="B314" s="34">
        <f ca="1">IFERROR(__xludf.DUMMYFUNCTION("""COMPUTED_VALUE"""),39203)</f>
        <v>39203</v>
      </c>
      <c r="C314" s="35" t="str">
        <f ca="1">IFERROR(__xludf.DUMMYFUNCTION("""COMPUTED_VALUE"""),"SAITQULOV XUSANJON G'AYRAT O'G'LI")</f>
        <v>SAITQULOV XUSANJON G'AYRAT O'G'LI</v>
      </c>
      <c r="D314" s="35" t="str">
        <f ca="1">IFERROR(__xludf.DUMMYFUNCTION("""COMPUTED_VALUE"""),"Стажер повар WOK")</f>
        <v>Стажер повар WOK</v>
      </c>
    </row>
    <row r="315" spans="1:4" ht="18" customHeight="1" x14ac:dyDescent="0.25">
      <c r="A315" s="37" t="str">
        <f ca="1">IFERROR(__xludf.DUMMYFUNCTION("""COMPUTED_VALUE"""),"108. Эко")</f>
        <v>108. Эко</v>
      </c>
      <c r="B315" s="34">
        <f ca="1">IFERROR(__xludf.DUMMYFUNCTION("""COMPUTED_VALUE"""),39307)</f>
        <v>39307</v>
      </c>
      <c r="C315" s="35" t="str">
        <f ca="1">IFERROR(__xludf.DUMMYFUNCTION("""COMPUTED_VALUE"""),"ABDUMANNONOV NURBEK ULUG'BEK O'G'LI")</f>
        <v>ABDUMANNONOV NURBEK ULUG'BEK O'G'LI</v>
      </c>
      <c r="D315" s="35" t="str">
        <f ca="1">IFERROR(__xludf.DUMMYFUNCTION("""COMPUTED_VALUE"""),"Младший пиццерист")</f>
        <v>Младший пиццерист</v>
      </c>
    </row>
    <row r="316" spans="1:4" ht="18" customHeight="1" x14ac:dyDescent="0.25">
      <c r="A316" s="37" t="str">
        <f ca="1">IFERROR(__xludf.DUMMYFUNCTION("""COMPUTED_VALUE"""),"108. Эко")</f>
        <v>108. Эко</v>
      </c>
      <c r="B316" s="34">
        <f ca="1">IFERROR(__xludf.DUMMYFUNCTION("""COMPUTED_VALUE"""),38636)</f>
        <v>38636</v>
      </c>
      <c r="C316" s="35" t="str">
        <f ca="1">IFERROR(__xludf.DUMMYFUNCTION("""COMPUTED_VALUE"""),"PO'LATOV MAVLONBEK BAXTIYOR O'G'LI")</f>
        <v>PO'LATOV MAVLONBEK BAXTIYOR O'G'LI</v>
      </c>
      <c r="D316" s="35" t="str">
        <f ca="1">IFERROR(__xludf.DUMMYFUNCTION("""COMPUTED_VALUE"""),"Стажер повар WOK")</f>
        <v>Стажер повар WOK</v>
      </c>
    </row>
    <row r="317" spans="1:4" ht="18" customHeight="1" x14ac:dyDescent="0.25">
      <c r="A317" s="37" t="str">
        <f ca="1">IFERROR(__xludf.DUMMYFUNCTION("""COMPUTED_VALUE"""),"108. Эко")</f>
        <v>108. Эко</v>
      </c>
      <c r="B317" s="34">
        <f ca="1">IFERROR(__xludf.DUMMYFUNCTION("""COMPUTED_VALUE"""),39309)</f>
        <v>39309</v>
      </c>
      <c r="C317" s="35" t="str">
        <f ca="1">IFERROR(__xludf.DUMMYFUNCTION("""COMPUTED_VALUE"""),"ABDULVOXIDOV DILSHODBEK DILMUROD O'G'LI")</f>
        <v>ABDULVOXIDOV DILSHODBEK DILMUROD O'G'LI</v>
      </c>
      <c r="D317" s="35" t="str">
        <f ca="1">IFERROR(__xludf.DUMMYFUNCTION("""COMPUTED_VALUE"""),"Стажер повар WOK")</f>
        <v>Стажер повар WOK</v>
      </c>
    </row>
    <row r="318" spans="1:4" ht="18" customHeight="1" x14ac:dyDescent="0.25">
      <c r="A318" s="37" t="str">
        <f ca="1">IFERROR(__xludf.DUMMYFUNCTION("""COMPUTED_VALUE"""),"108. Эко")</f>
        <v>108. Эко</v>
      </c>
      <c r="B318" s="34">
        <f ca="1">IFERROR(__xludf.DUMMYFUNCTION("""COMPUTED_VALUE"""),39183)</f>
        <v>39183</v>
      </c>
      <c r="C318" s="35" t="str">
        <f ca="1">IFERROR(__xludf.DUMMYFUNCTION("""COMPUTED_VALUE"""),"ISYAMINOV IBROHIM ALISHER O'G'LI")</f>
        <v>ISYAMINOV IBROHIM ALISHER O'G'LI</v>
      </c>
      <c r="D318" s="35" t="str">
        <f ca="1">IFERROR(__xludf.DUMMYFUNCTION("""COMPUTED_VALUE"""),"Стажер повар WOK")</f>
        <v>Стажер повар WOK</v>
      </c>
    </row>
    <row r="319" spans="1:4" ht="18" customHeight="1" x14ac:dyDescent="0.25">
      <c r="A319" s="37" t="str">
        <f ca="1">IFERROR(__xludf.DUMMYFUNCTION("""COMPUTED_VALUE"""),"108. Эко")</f>
        <v>108. Эко</v>
      </c>
      <c r="B319" s="34">
        <f ca="1">IFERROR(__xludf.DUMMYFUNCTION("""COMPUTED_VALUE"""),38942)</f>
        <v>38942</v>
      </c>
      <c r="C319" s="35" t="str">
        <f ca="1">IFERROR(__xludf.DUMMYFUNCTION("""COMPUTED_VALUE"""),"UMMATOVA DIYORA SHAMSIDDIN QIZI")</f>
        <v>UMMATOVA DIYORA SHAMSIDDIN QIZI</v>
      </c>
      <c r="D319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320" spans="1:4" ht="18" customHeight="1" x14ac:dyDescent="0.25">
      <c r="A320" s="37" t="str">
        <f ca="1">IFERROR(__xludf.DUMMYFUNCTION("""COMPUTED_VALUE"""),"108. Эко")</f>
        <v>108. Эко</v>
      </c>
      <c r="B320" s="34">
        <f ca="1">IFERROR(__xludf.DUMMYFUNCTION("""COMPUTED_VALUE"""),38113)</f>
        <v>38113</v>
      </c>
      <c r="C320" s="35" t="str">
        <f ca="1">IFERROR(__xludf.DUMMYFUNCTION("""COMPUTED_VALUE"""),"TO'XTAPO'LATOVA ZILOLA XOLMAT QIZI")</f>
        <v>TO'XTAPO'LATOVA ZILOLA XOLMAT QIZI</v>
      </c>
      <c r="D320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321" spans="1:4" ht="18" customHeight="1" x14ac:dyDescent="0.25">
      <c r="A321" s="37" t="str">
        <f ca="1">IFERROR(__xludf.DUMMYFUNCTION("""COMPUTED_VALUE"""),"108. Эко")</f>
        <v>108. Эко</v>
      </c>
      <c r="B321" s="34">
        <f ca="1">IFERROR(__xludf.DUMMYFUNCTION("""COMPUTED_VALUE"""),39067)</f>
        <v>39067</v>
      </c>
      <c r="C321" s="35" t="str">
        <f ca="1">IFERROR(__xludf.DUMMYFUNCTION("""COMPUTED_VALUE"""),"KAZAKBAYEV SHERBEK PARAXATOVICH")</f>
        <v>KAZAKBAYEV SHERBEK PARAXATOVICH</v>
      </c>
      <c r="D321" s="35" t="str">
        <f ca="1">IFERROR(__xludf.DUMMYFUNCTION("""COMPUTED_VALUE"""),"Стажер повар Street")</f>
        <v>Стажер повар Street</v>
      </c>
    </row>
    <row r="322" spans="1:4" ht="18" customHeight="1" x14ac:dyDescent="0.25">
      <c r="A322" s="37" t="str">
        <f ca="1">IFERROR(__xludf.DUMMYFUNCTION("""COMPUTED_VALUE"""),"108. Эко")</f>
        <v>108. Эко</v>
      </c>
      <c r="B322" s="34">
        <f ca="1">IFERROR(__xludf.DUMMYFUNCTION("""COMPUTED_VALUE"""),38911)</f>
        <v>38911</v>
      </c>
      <c r="C322" s="35" t="str">
        <f ca="1">IFERROR(__xludf.DUMMYFUNCTION("""COMPUTED_VALUE"""),"TALIPOVA SHAXZODA BOTIR QIZI")</f>
        <v>TALIPOVA SHAXZODA BOTIR QIZI</v>
      </c>
      <c r="D322" s="35" t="str">
        <f ca="1">IFERROR(__xludf.DUMMYFUNCTION("""COMPUTED_VALUE"""),"Стажер первoй линии")</f>
        <v>Стажер первoй линии</v>
      </c>
    </row>
    <row r="323" spans="1:4" ht="18" customHeight="1" x14ac:dyDescent="0.25">
      <c r="A323" s="37" t="str">
        <f ca="1">IFERROR(__xludf.DUMMYFUNCTION("""COMPUTED_VALUE"""),"108. Эко")</f>
        <v>108. Эко</v>
      </c>
      <c r="B323" s="34">
        <f ca="1">IFERROR(__xludf.DUMMYFUNCTION("""COMPUTED_VALUE"""),38866)</f>
        <v>38866</v>
      </c>
      <c r="C323" s="35" t="str">
        <f ca="1">IFERROR(__xludf.DUMMYFUNCTION("""COMPUTED_VALUE"""),"ISLOMOVA NIGORA DILMUROD QIZI")</f>
        <v>ISLOMOVA NIGORA DILMUROD QIZI</v>
      </c>
      <c r="D323" s="35" t="str">
        <f ca="1">IFERROR(__xludf.DUMMYFUNCTION("""COMPUTED_VALUE"""),"Стажер первoй линии")</f>
        <v>Стажер первoй линии</v>
      </c>
    </row>
    <row r="324" spans="1:4" ht="18" customHeight="1" x14ac:dyDescent="0.25">
      <c r="A324" s="37" t="str">
        <f ca="1">IFERROR(__xludf.DUMMYFUNCTION("""COMPUTED_VALUE"""),"108. Эко")</f>
        <v>108. Эко</v>
      </c>
      <c r="B324" s="34">
        <f ca="1">IFERROR(__xludf.DUMMYFUNCTION("""COMPUTED_VALUE"""),35940)</f>
        <v>35940</v>
      </c>
      <c r="C324" s="35" t="str">
        <f ca="1">IFERROR(__xludf.DUMMYFUNCTION("""COMPUTED_VALUE"""),"QODIROV SIROJIDDIN FAXRIDDINOVICH")</f>
        <v>QODIROV SIROJIDDIN FAXRIDDINOVICH</v>
      </c>
      <c r="D324" s="35" t="str">
        <f ca="1">IFERROR(__xludf.DUMMYFUNCTION("""COMPUTED_VALUE"""),"Стажер повар WOK")</f>
        <v>Стажер повар WOK</v>
      </c>
    </row>
    <row r="325" spans="1:4" ht="18" customHeight="1" x14ac:dyDescent="0.25">
      <c r="A325" s="37" t="str">
        <f ca="1">IFERROR(__xludf.DUMMYFUNCTION("""COMPUTED_VALUE"""),"108. Эко")</f>
        <v>108. Эко</v>
      </c>
      <c r="B325" s="34">
        <f ca="1">IFERROR(__xludf.DUMMYFUNCTION("""COMPUTED_VALUE"""),39494)</f>
        <v>39494</v>
      </c>
      <c r="C325" s="35" t="str">
        <f ca="1">IFERROR(__xludf.DUMMYFUNCTION("""COMPUTED_VALUE"""),"ABDURAHMONOV A'ZAM ABURAYXON O'G'LI")</f>
        <v>ABDURAHMONOV A'ZAM ABURAYXON O'G'LI</v>
      </c>
      <c r="D325" s="35" t="str">
        <f ca="1">IFERROR(__xludf.DUMMYFUNCTION("""COMPUTED_VALUE"""),"Стажер повар WOK")</f>
        <v>Стажер повар WOK</v>
      </c>
    </row>
    <row r="326" spans="1:4" ht="18" customHeight="1" x14ac:dyDescent="0.25">
      <c r="A326" s="37" t="str">
        <f ca="1">IFERROR(__xludf.DUMMYFUNCTION("""COMPUTED_VALUE"""),"108. Эко")</f>
        <v>108. Эко</v>
      </c>
      <c r="B326" s="34">
        <f ca="1">IFERROR(__xludf.DUMMYFUNCTION("""COMPUTED_VALUE"""),34919)</f>
        <v>34919</v>
      </c>
      <c r="C326" s="35" t="str">
        <f ca="1">IFERROR(__xludf.DUMMYFUNCTION("""COMPUTED_VALUE"""),"MINAVAROVA MUBINABONU UTKIRBEK QIZI")</f>
        <v>MINAVAROVA MUBINABONU UTKIRBEK QIZI</v>
      </c>
      <c r="D326" s="35" t="str">
        <f ca="1">IFERROR(__xludf.DUMMYFUNCTION("""COMPUTED_VALUE"""),"Стажер первoй линии")</f>
        <v>Стажер первoй линии</v>
      </c>
    </row>
    <row r="327" spans="1:4" ht="18" customHeight="1" x14ac:dyDescent="0.25">
      <c r="A327" s="37" t="str">
        <f ca="1">IFERROR(__xludf.DUMMYFUNCTION("""COMPUTED_VALUE"""),"108. Эко")</f>
        <v>108. Эко</v>
      </c>
      <c r="B327" s="34">
        <f ca="1">IFERROR(__xludf.DUMMYFUNCTION("""COMPUTED_VALUE"""),33319)</f>
        <v>33319</v>
      </c>
      <c r="C327" s="35" t="str">
        <f ca="1">IFERROR(__xludf.DUMMYFUNCTION("""COMPUTED_VALUE"""),"SHOXLIYEVA ZUHRA UROQ QIZI")</f>
        <v>SHOXLIYEVA ZUHRA UROQ QIZI</v>
      </c>
      <c r="D327" s="35" t="str">
        <f ca="1">IFERROR(__xludf.DUMMYFUNCTION("""COMPUTED_VALUE"""),"Младший пиццерист")</f>
        <v>Младший пиццерист</v>
      </c>
    </row>
    <row r="328" spans="1:4" ht="18" customHeight="1" x14ac:dyDescent="0.25">
      <c r="A328" s="33" t="str">
        <f ca="1">IFERROR(__xludf.DUMMYFUNCTION("""COMPUTED_VALUE"""),"107. Беруний")</f>
        <v>107. Беруний</v>
      </c>
      <c r="B328" s="34">
        <f ca="1">IFERROR(__xludf.DUMMYFUNCTION("""COMPUTED_VALUE"""),37614)</f>
        <v>37614</v>
      </c>
      <c r="C328" s="35" t="str">
        <f ca="1">IFERROR(__xludf.DUMMYFUNCTION("""COMPUTED_VALUE"""),"SODIQOV AMRULLO RAMAZON O'G'LI")</f>
        <v>SODIQOV AMRULLO RAMAZON O'G'LI</v>
      </c>
      <c r="D328" s="35" t="str">
        <f ca="1">IFERROR(__xludf.DUMMYFUNCTION("""COMPUTED_VALUE"""),"Управляющий")</f>
        <v>Управляющий</v>
      </c>
    </row>
    <row r="329" spans="1:4" ht="18" customHeight="1" x14ac:dyDescent="0.25">
      <c r="A329" s="33" t="str">
        <f ca="1">IFERROR(__xludf.DUMMYFUNCTION("""COMPUTED_VALUE"""),"107. Беруний")</f>
        <v>107. Беруний</v>
      </c>
      <c r="B329" s="34">
        <f ca="1">IFERROR(__xludf.DUMMYFUNCTION("""COMPUTED_VALUE"""),36554)</f>
        <v>36554</v>
      </c>
      <c r="C329" s="35" t="str">
        <f ca="1">IFERROR(__xludf.DUMMYFUNCTION("""COMPUTED_VALUE"""),"SATTOROV RAVSHAN SUYUNQULOVICH")</f>
        <v>SATTOROV RAVSHAN SUYUNQULOVICH</v>
      </c>
      <c r="D329" s="35" t="str">
        <f ca="1">IFERROR(__xludf.DUMMYFUNCTION("""COMPUTED_VALUE"""),"Сменный менеджер")</f>
        <v>Сменный менеджер</v>
      </c>
    </row>
    <row r="330" spans="1:4" ht="18" customHeight="1" x14ac:dyDescent="0.25">
      <c r="A330" s="33" t="str">
        <f ca="1">IFERROR(__xludf.DUMMYFUNCTION("""COMPUTED_VALUE"""),"107. Беруний")</f>
        <v>107. Беруний</v>
      </c>
      <c r="B330" s="34">
        <f ca="1">IFERROR(__xludf.DUMMYFUNCTION("""COMPUTED_VALUE"""),37693)</f>
        <v>37693</v>
      </c>
      <c r="C330" s="35" t="str">
        <f ca="1">IFERROR(__xludf.DUMMYFUNCTION("""COMPUTED_VALUE"""),"NISHONOV SAIDJON KIMSANALI O'G'LI")</f>
        <v>NISHONOV SAIDJON KIMSANALI O'G'LI</v>
      </c>
      <c r="D330" s="35" t="str">
        <f ca="1">IFERROR(__xludf.DUMMYFUNCTION("""COMPUTED_VALUE"""),"Сменный менеджер")</f>
        <v>Сменный менеджер</v>
      </c>
    </row>
    <row r="331" spans="1:4" ht="18" customHeight="1" x14ac:dyDescent="0.25">
      <c r="A331" s="33" t="str">
        <f ca="1">IFERROR(__xludf.DUMMYFUNCTION("""COMPUTED_VALUE"""),"107. Беруний")</f>
        <v>107. Беруний</v>
      </c>
      <c r="B331" s="34">
        <f ca="1">IFERROR(__xludf.DUMMYFUNCTION("""COMPUTED_VALUE"""),36276)</f>
        <v>36276</v>
      </c>
      <c r="C331" s="35" t="str">
        <f ca="1">IFERROR(__xludf.DUMMYFUNCTION("""COMPUTED_VALUE"""),"MUXAMEDXODJAYEV ABDURASUL ABDUTOLIB O'G'LI")</f>
        <v>MUXAMEDXODJAYEV ABDURASUL ABDUTOLIB O'G'LI</v>
      </c>
      <c r="D331" s="35" t="str">
        <f ca="1">IFERROR(__xludf.DUMMYFUNCTION("""COMPUTED_VALUE"""),"Стажер сменный менеджер")</f>
        <v>Стажер сменный менеджер</v>
      </c>
    </row>
    <row r="332" spans="1:4" ht="18" customHeight="1" x14ac:dyDescent="0.25">
      <c r="A332" s="33" t="str">
        <f ca="1">IFERROR(__xludf.DUMMYFUNCTION("""COMPUTED_VALUE"""),"107. Беруний")</f>
        <v>107. Беруний</v>
      </c>
      <c r="B332" s="34">
        <f ca="1">IFERROR(__xludf.DUMMYFUNCTION("""COMPUTED_VALUE"""),32199)</f>
        <v>32199</v>
      </c>
      <c r="C332" s="35" t="str">
        <f ca="1">IFERROR(__xludf.DUMMYFUNCTION("""COMPUTED_VALUE"""),"ASHRABOVA LOBAR AXATJANOVNA")</f>
        <v>ASHRABOVA LOBAR AXATJANOVNA</v>
      </c>
      <c r="D332" s="35" t="str">
        <f ca="1">IFERROR(__xludf.DUMMYFUNCTION("""COMPUTED_VALUE"""),"Лидер производствa Street")</f>
        <v>Лидер производствa Street</v>
      </c>
    </row>
    <row r="333" spans="1:4" ht="18" customHeight="1" x14ac:dyDescent="0.25">
      <c r="A333" s="33" t="str">
        <f ca="1">IFERROR(__xludf.DUMMYFUNCTION("""COMPUTED_VALUE"""),"107. Беруний")</f>
        <v>107. Беруний</v>
      </c>
      <c r="B333" s="34">
        <f ca="1">IFERROR(__xludf.DUMMYFUNCTION("""COMPUTED_VALUE"""),38151)</f>
        <v>38151</v>
      </c>
      <c r="C333" s="35" t="str">
        <f ca="1">IFERROR(__xludf.DUMMYFUNCTION("""COMPUTED_VALUE"""),"JUMANAZAROV JONIBEK JO'RABEK O'G'LI")</f>
        <v>JUMANAZAROV JONIBEK JO'RABEK O'G'LI</v>
      </c>
      <c r="D333" s="35" t="str">
        <f ca="1">IFERROR(__xludf.DUMMYFUNCTION("""COMPUTED_VALUE"""),"Лидер производствa Street")</f>
        <v>Лидер производствa Street</v>
      </c>
    </row>
    <row r="334" spans="1:4" ht="18" customHeight="1" x14ac:dyDescent="0.25">
      <c r="A334" s="33" t="str">
        <f ca="1">IFERROR(__xludf.DUMMYFUNCTION("""COMPUTED_VALUE"""),"107. Беруний")</f>
        <v>107. Беруний</v>
      </c>
      <c r="B334" s="34">
        <f ca="1">IFERROR(__xludf.DUMMYFUNCTION("""COMPUTED_VALUE"""),37979)</f>
        <v>37979</v>
      </c>
      <c r="C334" s="35" t="str">
        <f ca="1">IFERROR(__xludf.DUMMYFUNCTION("""COMPUTED_VALUE"""),"NURIDDINOV ZUHRIDDIN ZAYNIDDIN O'G'LI")</f>
        <v>NURIDDINOV ZUHRIDDIN ZAYNIDDIN O'G'LI</v>
      </c>
      <c r="D334" s="35" t="str">
        <f ca="1">IFERROR(__xludf.DUMMYFUNCTION("""COMPUTED_VALUE"""),"Лидер производствa Street")</f>
        <v>Лидер производствa Street</v>
      </c>
    </row>
    <row r="335" spans="1:4" ht="18" customHeight="1" x14ac:dyDescent="0.25">
      <c r="A335" s="33" t="str">
        <f ca="1">IFERROR(__xludf.DUMMYFUNCTION("""COMPUTED_VALUE"""),"107. Беруний")</f>
        <v>107. Беруний</v>
      </c>
      <c r="B335" s="34">
        <f ca="1">IFERROR(__xludf.DUMMYFUNCTION("""COMPUTED_VALUE"""),34862)</f>
        <v>34862</v>
      </c>
      <c r="C335" s="35" t="str">
        <f ca="1">IFERROR(__xludf.DUMMYFUNCTION("""COMPUTED_VALUE"""),"YARLAKABOV DOSTON SULAYMON O'G'LI")</f>
        <v>YARLAKABOV DOSTON SULAYMON O'G'LI</v>
      </c>
      <c r="D335" s="35" t="str">
        <f ca="1">IFERROR(__xludf.DUMMYFUNCTION("""COMPUTED_VALUE"""),"Лидер производствa pizza")</f>
        <v>Лидер производствa pizza</v>
      </c>
    </row>
    <row r="336" spans="1:4" ht="18" customHeight="1" x14ac:dyDescent="0.25">
      <c r="A336" s="33" t="str">
        <f ca="1">IFERROR(__xludf.DUMMYFUNCTION("""COMPUTED_VALUE"""),"107. Беруний")</f>
        <v>107. Беруний</v>
      </c>
      <c r="B336" s="34">
        <f ca="1">IFERROR(__xludf.DUMMYFUNCTION("""COMPUTED_VALUE"""),38793)</f>
        <v>38793</v>
      </c>
      <c r="C336" s="35" t="str">
        <f ca="1">IFERROR(__xludf.DUMMYFUNCTION("""COMPUTED_VALUE"""),"ELCHIYEV BOBIRJON BAXTIYOR O'G'LI")</f>
        <v>ELCHIYEV BOBIRJON BAXTIYOR O'G'LI</v>
      </c>
      <c r="D336" s="35" t="str">
        <f ca="1">IFERROR(__xludf.DUMMYFUNCTION("""COMPUTED_VALUE"""),"Универсал Street_Pizza")</f>
        <v>Универсал Street_Pizza</v>
      </c>
    </row>
    <row r="337" spans="1:4" ht="18" customHeight="1" x14ac:dyDescent="0.25">
      <c r="A337" s="33" t="str">
        <f ca="1">IFERROR(__xludf.DUMMYFUNCTION("""COMPUTED_VALUE"""),"107. Беруний")</f>
        <v>107. Беруний</v>
      </c>
      <c r="B337" s="34">
        <f ca="1">IFERROR(__xludf.DUMMYFUNCTION("""COMPUTED_VALUE"""),38859)</f>
        <v>38859</v>
      </c>
      <c r="C337" s="35" t="str">
        <f ca="1">IFERROR(__xludf.DUMMYFUNCTION("""COMPUTED_VALUE"""),"YIGITALIYEV SHERDORBEK XAYDARALI O'G'LI")</f>
        <v>YIGITALIYEV SHERDORBEK XAYDARALI O'G'LI</v>
      </c>
      <c r="D337" s="35" t="str">
        <f ca="1">IFERROR(__xludf.DUMMYFUNCTION("""COMPUTED_VALUE"""),"Универсальный повар WOK")</f>
        <v>Универсальный повар WOK</v>
      </c>
    </row>
    <row r="338" spans="1:4" ht="18" customHeight="1" x14ac:dyDescent="0.25">
      <c r="A338" s="33" t="str">
        <f ca="1">IFERROR(__xludf.DUMMYFUNCTION("""COMPUTED_VALUE"""),"107. Беруний")</f>
        <v>107. Беруний</v>
      </c>
      <c r="B338" s="34">
        <f ca="1">IFERROR(__xludf.DUMMYFUNCTION("""COMPUTED_VALUE"""),37464)</f>
        <v>37464</v>
      </c>
      <c r="C338" s="35" t="str">
        <f ca="1">IFERROR(__xludf.DUMMYFUNCTION("""COMPUTED_VALUE"""),"EGAMBERDIYEVA HILOLA ERKABAY QIZI")</f>
        <v>EGAMBERDIYEVA HILOLA ERKABAY QIZI</v>
      </c>
      <c r="D338" s="35" t="str">
        <f ca="1">IFERROR(__xludf.DUMMYFUNCTION("""COMPUTED_VALUE"""),"Универсальный сотрудник Front line")</f>
        <v>Универсальный сотрудник Front line</v>
      </c>
    </row>
    <row r="339" spans="1:4" ht="18" customHeight="1" x14ac:dyDescent="0.25">
      <c r="A339" s="33" t="str">
        <f ca="1">IFERROR(__xludf.DUMMYFUNCTION("""COMPUTED_VALUE"""),"107. Беруний")</f>
        <v>107. Беруний</v>
      </c>
      <c r="B339" s="34">
        <f ca="1">IFERROR(__xludf.DUMMYFUNCTION("""COMPUTED_VALUE"""),37617)</f>
        <v>37617</v>
      </c>
      <c r="C339" s="35" t="str">
        <f ca="1">IFERROR(__xludf.DUMMYFUNCTION("""COMPUTED_VALUE"""),"HAMROQULOV MURODJON NEMAT O'G'LI")</f>
        <v>HAMROQULOV MURODJON NEMAT O'G'LI</v>
      </c>
      <c r="D339" s="35" t="str">
        <f ca="1">IFERROR(__xludf.DUMMYFUNCTION("""COMPUTED_VALUE"""),"Лидер производства WOK")</f>
        <v>Лидер производства WOK</v>
      </c>
    </row>
    <row r="340" spans="1:4" ht="18" customHeight="1" x14ac:dyDescent="0.25">
      <c r="A340" s="33" t="str">
        <f ca="1">IFERROR(__xludf.DUMMYFUNCTION("""COMPUTED_VALUE"""),"107. Беруний")</f>
        <v>107. Беруний</v>
      </c>
      <c r="B340" s="34">
        <f ca="1">IFERROR(__xludf.DUMMYFUNCTION("""COMPUTED_VALUE"""),39229)</f>
        <v>39229</v>
      </c>
      <c r="C340" s="35" t="str">
        <f ca="1">IFERROR(__xludf.DUMMYFUNCTION("""COMPUTED_VALUE"""),"ABDUXALILOV ABZAL AZAMAT O'G'LI")</f>
        <v>ABDUXALILOV ABZAL AZAMAT O'G'LI</v>
      </c>
      <c r="D340" s="35" t="str">
        <f ca="1">IFERROR(__xludf.DUMMYFUNCTION("""COMPUTED_VALUE"""),"Универсальный повар WOK")</f>
        <v>Универсальный повар WOK</v>
      </c>
    </row>
    <row r="341" spans="1:4" ht="18" customHeight="1" x14ac:dyDescent="0.25">
      <c r="A341" s="33" t="str">
        <f ca="1">IFERROR(__xludf.DUMMYFUNCTION("""COMPUTED_VALUE"""),"107. Беруний")</f>
        <v>107. Беруний</v>
      </c>
      <c r="B341" s="34">
        <f ca="1">IFERROR(__xludf.DUMMYFUNCTION("""COMPUTED_VALUE"""),38171)</f>
        <v>38171</v>
      </c>
      <c r="C341" s="35" t="str">
        <f ca="1">IFERROR(__xludf.DUMMYFUNCTION("""COMPUTED_VALUE"""),"BOLQIBOYEV SARVAR ILXOM O'G'LI")</f>
        <v>BOLQIBOYEV SARVAR ILXOM O'G'LI</v>
      </c>
      <c r="D341" s="35" t="str">
        <f ca="1">IFERROR(__xludf.DUMMYFUNCTION("""COMPUTED_VALUE"""),"Универсальный сотрудник Front line")</f>
        <v>Универсальный сотрудник Front line</v>
      </c>
    </row>
    <row r="342" spans="1:4" ht="18" customHeight="1" x14ac:dyDescent="0.25">
      <c r="A342" s="33" t="str">
        <f ca="1">IFERROR(__xludf.DUMMYFUNCTION("""COMPUTED_VALUE"""),"107. Беруний")</f>
        <v>107. Беруний</v>
      </c>
      <c r="B342" s="34">
        <f ca="1">IFERROR(__xludf.DUMMYFUNCTION("""COMPUTED_VALUE"""),27850)</f>
        <v>27850</v>
      </c>
      <c r="C342" s="35" t="str">
        <f ca="1">IFERROR(__xludf.DUMMYFUNCTION("""COMPUTED_VALUE"""),"XUSHVAKTOVA SAODAT NORMURODOVNA")</f>
        <v>XUSHVAKTOVA SAODAT NORMURODOVNA</v>
      </c>
      <c r="D342" s="35" t="str">
        <f ca="1">IFERROR(__xludf.DUMMYFUNCTION("""COMPUTED_VALUE"""),"Универсальный повар Street")</f>
        <v>Универсальный повар Street</v>
      </c>
    </row>
    <row r="343" spans="1:4" ht="18" customHeight="1" x14ac:dyDescent="0.25">
      <c r="A343" s="33" t="str">
        <f ca="1">IFERROR(__xludf.DUMMYFUNCTION("""COMPUTED_VALUE"""),"107. Беруний")</f>
        <v>107. Беруний</v>
      </c>
      <c r="B343" s="34">
        <f ca="1">IFERROR(__xludf.DUMMYFUNCTION("""COMPUTED_VALUE"""),38716)</f>
        <v>38716</v>
      </c>
      <c r="C343" s="35" t="str">
        <f ca="1">IFERROR(__xludf.DUMMYFUNCTION("""COMPUTED_VALUE"""),"JUMANAZAROV O'GABEK JO'RABEK O'G'LI")</f>
        <v>JUMANAZAROV O'GABEK JO'RABEK O'G'LI</v>
      </c>
      <c r="D343" s="35" t="str">
        <f ca="1">IFERROR(__xludf.DUMMYFUNCTION("""COMPUTED_VALUE"""),"Лидер производствa pizza")</f>
        <v>Лидер производствa pizza</v>
      </c>
    </row>
    <row r="344" spans="1:4" ht="18" customHeight="1" x14ac:dyDescent="0.25">
      <c r="A344" s="33" t="str">
        <f ca="1">IFERROR(__xludf.DUMMYFUNCTION("""COMPUTED_VALUE"""),"107. Беруний")</f>
        <v>107. Беруний</v>
      </c>
      <c r="B344" s="34">
        <f ca="1">IFERROR(__xludf.DUMMYFUNCTION("""COMPUTED_VALUE"""),38102)</f>
        <v>38102</v>
      </c>
      <c r="C344" s="35" t="str">
        <f ca="1">IFERROR(__xludf.DUMMYFUNCTION("""COMPUTED_VALUE"""),"BAXROMOV FARRUX BAXODIR O'G'LI")</f>
        <v>BAXROMOV FARRUX BAXODIR O'G'LI</v>
      </c>
      <c r="D344" s="35" t="str">
        <f ca="1">IFERROR(__xludf.DUMMYFUNCTION("""COMPUTED_VALUE"""),"Лидер производства WOK")</f>
        <v>Лидер производства WOK</v>
      </c>
    </row>
    <row r="345" spans="1:4" ht="18" customHeight="1" x14ac:dyDescent="0.25">
      <c r="A345" s="33" t="str">
        <f ca="1">IFERROR(__xludf.DUMMYFUNCTION("""COMPUTED_VALUE"""),"107. Беруний")</f>
        <v>107. Беруний</v>
      </c>
      <c r="B345" s="34">
        <f ca="1">IFERROR(__xludf.DUMMYFUNCTION("""COMPUTED_VALUE"""),39377)</f>
        <v>39377</v>
      </c>
      <c r="C345" s="35" t="str">
        <f ca="1">IFERROR(__xludf.DUMMYFUNCTION("""COMPUTED_VALUE"""),"MUHAMMADOV MUHAMMADIQBOL NURAHMADOVICH")</f>
        <v>MUHAMMADOV MUHAMMADIQBOL NURAHMADOVICH</v>
      </c>
      <c r="D345" s="35" t="str">
        <f ca="1">IFERROR(__xludf.DUMMYFUNCTION("""COMPUTED_VALUE"""),"Пиццерист")</f>
        <v>Пиццерист</v>
      </c>
    </row>
    <row r="346" spans="1:4" ht="18" customHeight="1" x14ac:dyDescent="0.25">
      <c r="A346" s="33" t="str">
        <f ca="1">IFERROR(__xludf.DUMMYFUNCTION("""COMPUTED_VALUE"""),"107. Беруний")</f>
        <v>107. Беруний</v>
      </c>
      <c r="B346" s="34">
        <f ca="1">IFERROR(__xludf.DUMMYFUNCTION("""COMPUTED_VALUE"""),38094)</f>
        <v>38094</v>
      </c>
      <c r="C346" s="35" t="str">
        <f ca="1">IFERROR(__xludf.DUMMYFUNCTION("""COMPUTED_VALUE"""),"SANAQULOV ZIYODULLA IKROM O'G'LI")</f>
        <v>SANAQULOV ZIYODULLA IKROM O'G'LI</v>
      </c>
      <c r="D346" s="35" t="str">
        <f ca="1">IFERROR(__xludf.DUMMYFUNCTION("""COMPUTED_VALUE"""),"Универсальный повар Street")</f>
        <v>Универсальный повар Street</v>
      </c>
    </row>
    <row r="347" spans="1:4" ht="18" customHeight="1" x14ac:dyDescent="0.25">
      <c r="A347" s="33" t="str">
        <f ca="1">IFERROR(__xludf.DUMMYFUNCTION("""COMPUTED_VALUE"""),"107. Беруний")</f>
        <v>107. Беруний</v>
      </c>
      <c r="B347" s="34">
        <f ca="1">IFERROR(__xludf.DUMMYFUNCTION("""COMPUTED_VALUE"""),38988)</f>
        <v>38988</v>
      </c>
      <c r="C347" s="35" t="str">
        <f ca="1">IFERROR(__xludf.DUMMYFUNCTION("""COMPUTED_VALUE"""),"XUSAYNOVA SHAHNOZA ALMARDON QIZI")</f>
        <v>XUSAYNOVA SHAHNOZA ALMARDON QIZI</v>
      </c>
      <c r="D347" s="35" t="str">
        <f ca="1">IFERROR(__xludf.DUMMYFUNCTION("""COMPUTED_VALUE"""),"Универсальный сотрудник Front line")</f>
        <v>Универсальный сотрудник Front line</v>
      </c>
    </row>
    <row r="348" spans="1:4" ht="18" customHeight="1" x14ac:dyDescent="0.25">
      <c r="A348" s="33" t="str">
        <f ca="1">IFERROR(__xludf.DUMMYFUNCTION("""COMPUTED_VALUE"""),"107. Беруний")</f>
        <v>107. Беруний</v>
      </c>
      <c r="B348" s="34">
        <f ca="1">IFERROR(__xludf.DUMMYFUNCTION("""COMPUTED_VALUE"""),38919)</f>
        <v>38919</v>
      </c>
      <c r="C348" s="35" t="str">
        <f ca="1">IFERROR(__xludf.DUMMYFUNCTION("""COMPUTED_VALUE"""),"XUDOYNAZAROV ABRORJON MUHIDDIN O'G'LI")</f>
        <v>XUDOYNAZAROV ABRORJON MUHIDDIN O'G'LI</v>
      </c>
      <c r="D348" s="35" t="str">
        <f ca="1">IFERROR(__xludf.DUMMYFUNCTION("""COMPUTED_VALUE"""),"Официант")</f>
        <v>Официант</v>
      </c>
    </row>
    <row r="349" spans="1:4" ht="18" customHeight="1" x14ac:dyDescent="0.25">
      <c r="A349" s="33" t="str">
        <f ca="1">IFERROR(__xludf.DUMMYFUNCTION("""COMPUTED_VALUE"""),"107. Беруний")</f>
        <v>107. Беруний</v>
      </c>
      <c r="B349" s="34">
        <f ca="1">IFERROR(__xludf.DUMMYFUNCTION("""COMPUTED_VALUE"""),38951)</f>
        <v>38951</v>
      </c>
      <c r="C349" s="35" t="str">
        <f ca="1">IFERROR(__xludf.DUMMYFUNCTION("""COMPUTED_VALUE"""),"XAQBERDIYEV AZAMAT ISKANDAR O'G'LI")</f>
        <v>XAQBERDIYEV AZAMAT ISKANDAR O'G'LI</v>
      </c>
      <c r="D349" s="35" t="str">
        <f ca="1">IFERROR(__xludf.DUMMYFUNCTION("""COMPUTED_VALUE"""),"Старший рабочий кухни (Техничка, мойка)")</f>
        <v>Старший рабочий кухни (Техничка, мойка)</v>
      </c>
    </row>
    <row r="350" spans="1:4" ht="18" customHeight="1" x14ac:dyDescent="0.25">
      <c r="A350" s="33" t="str">
        <f ca="1">IFERROR(__xludf.DUMMYFUNCTION("""COMPUTED_VALUE"""),"107. Беруний")</f>
        <v>107. Беруний</v>
      </c>
      <c r="B350" s="34">
        <f ca="1">IFERROR(__xludf.DUMMYFUNCTION("""COMPUTED_VALUE"""),39248)</f>
        <v>39248</v>
      </c>
      <c r="C350" s="35" t="str">
        <f ca="1">IFERROR(__xludf.DUMMYFUNCTION("""COMPUTED_VALUE"""),"BOZORBOYEVA SEVINCH SHERZOD QIZI")</f>
        <v>BOZORBOYEVA SEVINCH SHERZOD QIZI</v>
      </c>
      <c r="D350" s="35" t="str">
        <f ca="1">IFERROR(__xludf.DUMMYFUNCTION("""COMPUTED_VALUE"""),"Сотрудник первой линии")</f>
        <v>Сотрудник первой линии</v>
      </c>
    </row>
    <row r="351" spans="1:4" ht="18" customHeight="1" x14ac:dyDescent="0.25">
      <c r="A351" s="33" t="str">
        <f ca="1">IFERROR(__xludf.DUMMYFUNCTION("""COMPUTED_VALUE"""),"107. Беруний")</f>
        <v>107. Беруний</v>
      </c>
      <c r="B351" s="34">
        <f ca="1">IFERROR(__xludf.DUMMYFUNCTION("""COMPUTED_VALUE"""),38760)</f>
        <v>38760</v>
      </c>
      <c r="C351" s="35" t="str">
        <f ca="1">IFERROR(__xludf.DUMMYFUNCTION("""COMPUTED_VALUE"""),"ABDULLAYEV AZIZJON ABRORJON O'G'LI")</f>
        <v>ABDULLAYEV AZIZJON ABRORJON O'G'LI</v>
      </c>
      <c r="D351" s="35" t="str">
        <f ca="1">IFERROR(__xludf.DUMMYFUNCTION("""COMPUTED_VALUE"""),"Универсальный повар Street")</f>
        <v>Универсальный повар Street</v>
      </c>
    </row>
    <row r="352" spans="1:4" ht="18" customHeight="1" x14ac:dyDescent="0.25">
      <c r="A352" s="33" t="str">
        <f ca="1">IFERROR(__xludf.DUMMYFUNCTION("""COMPUTED_VALUE"""),"107. Беруний")</f>
        <v>107. Беруний</v>
      </c>
      <c r="B352" s="34">
        <f ca="1">IFERROR(__xludf.DUMMYFUNCTION("""COMPUTED_VALUE"""),38914)</f>
        <v>38914</v>
      </c>
      <c r="C352" s="35" t="str">
        <f ca="1">IFERROR(__xludf.DUMMYFUNCTION("""COMPUTED_VALUE"""),"DUSQORAYEVA DILNURA OBID QIZI")</f>
        <v>DUSQORAYEVA DILNURA OBID QIZI</v>
      </c>
      <c r="D352" s="35" t="str">
        <f ca="1">IFERROR(__xludf.DUMMYFUNCTION("""COMPUTED_VALUE"""),"Сотрудник первой линии")</f>
        <v>Сотрудник первой линии</v>
      </c>
    </row>
    <row r="353" spans="1:4" ht="18" customHeight="1" x14ac:dyDescent="0.25">
      <c r="A353" s="33" t="str">
        <f ca="1">IFERROR(__xludf.DUMMYFUNCTION("""COMPUTED_VALUE"""),"107. Беруний")</f>
        <v>107. Беруний</v>
      </c>
      <c r="B353" s="34">
        <f ca="1">IFERROR(__xludf.DUMMYFUNCTION("""COMPUTED_VALUE"""),37712)</f>
        <v>37712</v>
      </c>
      <c r="C353" s="35" t="str">
        <f ca="1">IFERROR(__xludf.DUMMYFUNCTION("""COMPUTED_VALUE"""),"RO'ZIQULOVA SHAHNOZA ALISHER QIZI")</f>
        <v>RO'ZIQULOVA SHAHNOZA ALISHER QIZI</v>
      </c>
      <c r="D353" s="35" t="str">
        <f ca="1">IFERROR(__xludf.DUMMYFUNCTION("""COMPUTED_VALUE"""),"Сотрудник первой линии")</f>
        <v>Сотрудник первой линии</v>
      </c>
    </row>
    <row r="354" spans="1:4" ht="18" customHeight="1" x14ac:dyDescent="0.25">
      <c r="A354" s="33" t="str">
        <f ca="1">IFERROR(__xludf.DUMMYFUNCTION("""COMPUTED_VALUE"""),"107. Беруний")</f>
        <v>107. Беруний</v>
      </c>
      <c r="B354" s="34">
        <f ca="1">IFERROR(__xludf.DUMMYFUNCTION("""COMPUTED_VALUE"""),39373)</f>
        <v>39373</v>
      </c>
      <c r="C354" s="35" t="str">
        <f ca="1">IFERROR(__xludf.DUMMYFUNCTION("""COMPUTED_VALUE"""),"FAYZULLAYEV ELYORBEK DILSHOD O'G'LI")</f>
        <v>FAYZULLAYEV ELYORBEK DILSHOD O'G'LI</v>
      </c>
      <c r="D354" s="35" t="str">
        <f ca="1">IFERROR(__xludf.DUMMYFUNCTION("""COMPUTED_VALUE"""),"Универсал Street_Pizza")</f>
        <v>Универсал Street_Pizza</v>
      </c>
    </row>
    <row r="355" spans="1:4" ht="18" customHeight="1" x14ac:dyDescent="0.25">
      <c r="A355" s="33" t="str">
        <f ca="1">IFERROR(__xludf.DUMMYFUNCTION("""COMPUTED_VALUE"""),"107. Беруний")</f>
        <v>107. Беруний</v>
      </c>
      <c r="B355" s="34">
        <f ca="1">IFERROR(__xludf.DUMMYFUNCTION("""COMPUTED_VALUE"""),38590)</f>
        <v>38590</v>
      </c>
      <c r="C355" s="35" t="str">
        <f ca="1">IFERROR(__xludf.DUMMYFUNCTION("""COMPUTED_VALUE"""),"ABIYIRQULOVA RUXSHONA NURULLA QIZI")</f>
        <v>ABIYIRQULOVA RUXSHONA NURULLA QIZI</v>
      </c>
      <c r="D355" s="35" t="str">
        <f ca="1">IFERROR(__xludf.DUMMYFUNCTION("""COMPUTED_VALUE"""),"Кассир")</f>
        <v>Кассир</v>
      </c>
    </row>
    <row r="356" spans="1:4" ht="18" customHeight="1" x14ac:dyDescent="0.25">
      <c r="A356" s="33" t="str">
        <f ca="1">IFERROR(__xludf.DUMMYFUNCTION("""COMPUTED_VALUE"""),"107. Беруний")</f>
        <v>107. Беруний</v>
      </c>
      <c r="B356" s="34">
        <f ca="1">IFERROR(__xludf.DUMMYFUNCTION("""COMPUTED_VALUE"""),38622)</f>
        <v>38622</v>
      </c>
      <c r="C356" s="35" t="str">
        <f ca="1">IFERROR(__xludf.DUMMYFUNCTION("""COMPUTED_VALUE"""),"MAXMUTOVA SEVINCH ERKIN QIZI")</f>
        <v>MAXMUTOVA SEVINCH ERKIN QIZI</v>
      </c>
      <c r="D356" s="35" t="str">
        <f ca="1">IFERROR(__xludf.DUMMYFUNCTION("""COMPUTED_VALUE"""),"Универсальный сотрудник Front line")</f>
        <v>Универсальный сотрудник Front line</v>
      </c>
    </row>
    <row r="357" spans="1:4" ht="18" customHeight="1" x14ac:dyDescent="0.25">
      <c r="A357" s="33" t="str">
        <f ca="1">IFERROR(__xludf.DUMMYFUNCTION("""COMPUTED_VALUE"""),"107. Беруний")</f>
        <v>107. Беруний</v>
      </c>
      <c r="B357" s="34">
        <f ca="1">IFERROR(__xludf.DUMMYFUNCTION("""COMPUTED_VALUE"""),37670)</f>
        <v>37670</v>
      </c>
      <c r="C357" s="35" t="str">
        <f ca="1">IFERROR(__xludf.DUMMYFUNCTION("""COMPUTED_VALUE"""),"NURIDDINOVA DURDONA SHERALI QIZI")</f>
        <v>NURIDDINOVA DURDONA SHERALI QIZI</v>
      </c>
      <c r="D357" s="35" t="str">
        <f ca="1">IFERROR(__xludf.DUMMYFUNCTION("""COMPUTED_VALUE"""),"Повар WOK")</f>
        <v>Повар WOK</v>
      </c>
    </row>
    <row r="358" spans="1:4" ht="18" customHeight="1" x14ac:dyDescent="0.25">
      <c r="A358" s="33" t="str">
        <f ca="1">IFERROR(__xludf.DUMMYFUNCTION("""COMPUTED_VALUE"""),"107. Беруний")</f>
        <v>107. Беруний</v>
      </c>
      <c r="B358" s="34">
        <f ca="1">IFERROR(__xludf.DUMMYFUNCTION("""COMPUTED_VALUE"""),38991)</f>
        <v>38991</v>
      </c>
      <c r="C358" s="35" t="str">
        <f ca="1">IFERROR(__xludf.DUMMYFUNCTION("""COMPUTED_VALUE"""),"GAFFAROV JAVLONBEK ZAMONALI O'G'LI")</f>
        <v>GAFFAROV JAVLONBEK ZAMONALI O'G'LI</v>
      </c>
      <c r="D358" s="35" t="str">
        <f ca="1">IFERROR(__xludf.DUMMYFUNCTION("""COMPUTED_VALUE"""),"Повар Street")</f>
        <v>Повар Street</v>
      </c>
    </row>
    <row r="359" spans="1:4" ht="18" customHeight="1" x14ac:dyDescent="0.25">
      <c r="A359" s="33" t="str">
        <f ca="1">IFERROR(__xludf.DUMMYFUNCTION("""COMPUTED_VALUE"""),"107. Беруний")</f>
        <v>107. Беруний</v>
      </c>
      <c r="B359" s="34">
        <f ca="1">IFERROR(__xludf.DUMMYFUNCTION("""COMPUTED_VALUE"""),38598)</f>
        <v>38598</v>
      </c>
      <c r="C359" s="35" t="str">
        <f ca="1">IFERROR(__xludf.DUMMYFUNCTION("""COMPUTED_VALUE"""),"NORMO'MINOV ZOHID ISMOIL O'G'LI")</f>
        <v>NORMO'MINOV ZOHID ISMOIL O'G'LI</v>
      </c>
      <c r="D359" s="35" t="str">
        <f ca="1">IFERROR(__xludf.DUMMYFUNCTION("""COMPUTED_VALUE"""),"Официант")</f>
        <v>Официант</v>
      </c>
    </row>
    <row r="360" spans="1:4" ht="18" customHeight="1" x14ac:dyDescent="0.25">
      <c r="A360" s="33" t="str">
        <f ca="1">IFERROR(__xludf.DUMMYFUNCTION("""COMPUTED_VALUE"""),"107. Беруний")</f>
        <v>107. Беруний</v>
      </c>
      <c r="B360" s="34">
        <f ca="1">IFERROR(__xludf.DUMMYFUNCTION("""COMPUTED_VALUE"""),38759)</f>
        <v>38759</v>
      </c>
      <c r="C360" s="35" t="str">
        <f ca="1">IFERROR(__xludf.DUMMYFUNCTION("""COMPUTED_VALUE"""),"NORPO'LATOV SAYYODBEK TUROB O'G'LI")</f>
        <v>NORPO'LATOV SAYYODBEK TUROB O'G'LI</v>
      </c>
      <c r="D360" s="35" t="str">
        <f ca="1">IFERROR(__xludf.DUMMYFUNCTION("""COMPUTED_VALUE"""),"Повар WOK")</f>
        <v>Повар WOK</v>
      </c>
    </row>
    <row r="361" spans="1:4" ht="18" customHeight="1" x14ac:dyDescent="0.25">
      <c r="A361" s="33" t="str">
        <f ca="1">IFERROR(__xludf.DUMMYFUNCTION("""COMPUTED_VALUE"""),"107. Беруний")</f>
        <v>107. Беруний</v>
      </c>
      <c r="B361" s="34">
        <f ca="1">IFERROR(__xludf.DUMMYFUNCTION("""COMPUTED_VALUE"""),38962)</f>
        <v>38962</v>
      </c>
      <c r="C361" s="35" t="str">
        <f ca="1">IFERROR(__xludf.DUMMYFUNCTION("""COMPUTED_VALUE"""),"QODIROV NURILLO SHUXRATILLO O'G'LI")</f>
        <v>QODIROV NURILLO SHUXRATILLO O'G'LI</v>
      </c>
      <c r="D361" s="35" t="str">
        <f ca="1">IFERROR(__xludf.DUMMYFUNCTION("""COMPUTED_VALUE"""),"Стажер повар WOK")</f>
        <v>Стажер повар WOK</v>
      </c>
    </row>
    <row r="362" spans="1:4" ht="18" customHeight="1" x14ac:dyDescent="0.25">
      <c r="A362" s="33" t="str">
        <f ca="1">IFERROR(__xludf.DUMMYFUNCTION("""COMPUTED_VALUE"""),"107. Беруний")</f>
        <v>107. Беруний</v>
      </c>
      <c r="B362" s="34">
        <f ca="1">IFERROR(__xludf.DUMMYFUNCTION("""COMPUTED_VALUE"""),38877)</f>
        <v>38877</v>
      </c>
      <c r="C362" s="35" t="str">
        <f ca="1">IFERROR(__xludf.DUMMYFUNCTION("""COMPUTED_VALUE"""),"ERMATOVA SARVINOZ BAXTIYOR QIZI")</f>
        <v>ERMATOVA SARVINOZ BAXTIYOR QIZI</v>
      </c>
      <c r="D362" s="35" t="str">
        <f ca="1">IFERROR(__xludf.DUMMYFUNCTION("""COMPUTED_VALUE"""),"Сотрудник первой линии")</f>
        <v>Сотрудник первой линии</v>
      </c>
    </row>
    <row r="363" spans="1:4" ht="18" customHeight="1" x14ac:dyDescent="0.25">
      <c r="A363" s="33" t="str">
        <f ca="1">IFERROR(__xludf.DUMMYFUNCTION("""COMPUTED_VALUE"""),"107. Беруний")</f>
        <v>107. Беруний</v>
      </c>
      <c r="B363" s="34">
        <f ca="1">IFERROR(__xludf.DUMMYFUNCTION("""COMPUTED_VALUE"""),39390)</f>
        <v>39390</v>
      </c>
      <c r="C363" s="35" t="str">
        <f ca="1">IFERROR(__xludf.DUMMYFUNCTION("""COMPUTED_VALUE"""),"NABIYEVA SHAXZODA XAYRULLO QIZI")</f>
        <v>NABIYEVA SHAXZODA XAYRULLO QIZI</v>
      </c>
      <c r="D363" s="35" t="str">
        <f ca="1">IFERROR(__xludf.DUMMYFUNCTION("""COMPUTED_VALUE"""),"Стажер первoй линии")</f>
        <v>Стажер первoй линии</v>
      </c>
    </row>
    <row r="364" spans="1:4" ht="18" customHeight="1" x14ac:dyDescent="0.25">
      <c r="A364" s="33" t="str">
        <f ca="1">IFERROR(__xludf.DUMMYFUNCTION("""COMPUTED_VALUE"""),"107. Беруний")</f>
        <v>107. Беруний</v>
      </c>
      <c r="B364" s="34">
        <f ca="1">IFERROR(__xludf.DUMMYFUNCTION("""COMPUTED_VALUE"""),38843)</f>
        <v>38843</v>
      </c>
      <c r="C364" s="35" t="str">
        <f ca="1">IFERROR(__xludf.DUMMYFUNCTION("""COMPUTED_VALUE"""),"ESHMO'MINOVA MUXAYYO SHAVKAT QIZI")</f>
        <v>ESHMO'MINOVA MUXAYYO SHAVKAT QIZI</v>
      </c>
      <c r="D364" s="35" t="str">
        <f ca="1">IFERROR(__xludf.DUMMYFUNCTION("""COMPUTED_VALUE"""),"Стажер официант")</f>
        <v>Стажер официант</v>
      </c>
    </row>
    <row r="365" spans="1:4" ht="18" customHeight="1" x14ac:dyDescent="0.25">
      <c r="A365" s="33" t="str">
        <f ca="1">IFERROR(__xludf.DUMMYFUNCTION("""COMPUTED_VALUE"""),"107. Беруний")</f>
        <v>107. Беруний</v>
      </c>
      <c r="B365" s="34">
        <f ca="1">IFERROR(__xludf.DUMMYFUNCTION("""COMPUTED_VALUE"""),39078)</f>
        <v>39078</v>
      </c>
      <c r="C365" s="35" t="str">
        <f ca="1">IFERROR(__xludf.DUMMYFUNCTION("""COMPUTED_VALUE"""),"MAMURBEKOVA DILSO'Z RUSTAM QIZI")</f>
        <v>MAMURBEKOVA DILSO'Z RUSTAM QIZI</v>
      </c>
      <c r="D365" s="35" t="str">
        <f ca="1">IFERROR(__xludf.DUMMYFUNCTION("""COMPUTED_VALUE"""),"Стажер официант")</f>
        <v>Стажер официант</v>
      </c>
    </row>
    <row r="366" spans="1:4" ht="18" customHeight="1" x14ac:dyDescent="0.25">
      <c r="A366" s="33" t="str">
        <f ca="1">IFERROR(__xludf.DUMMYFUNCTION("""COMPUTED_VALUE"""),"107. Беруний")</f>
        <v>107. Беруний</v>
      </c>
      <c r="B366" s="34">
        <f ca="1">IFERROR(__xludf.DUMMYFUNCTION("""COMPUTED_VALUE"""),38724)</f>
        <v>38724</v>
      </c>
      <c r="C366" s="35" t="str">
        <f ca="1">IFERROR(__xludf.DUMMYFUNCTION("""COMPUTED_VALUE"""),"QURBONOVA AZIZA HASAN QIZI")</f>
        <v>QURBONOVA AZIZA HASAN QIZI</v>
      </c>
      <c r="D366" s="35" t="str">
        <f ca="1">IFERROR(__xludf.DUMMYFUNCTION("""COMPUTED_VALUE"""),"Стажер первoй линии")</f>
        <v>Стажер первoй линии</v>
      </c>
    </row>
    <row r="367" spans="1:4" ht="18" customHeight="1" x14ac:dyDescent="0.25">
      <c r="A367" s="33" t="str">
        <f ca="1">IFERROR(__xludf.DUMMYFUNCTION("""COMPUTED_VALUE"""),"107. Беруний")</f>
        <v>107. Беруний</v>
      </c>
      <c r="B367" s="34">
        <f ca="1">IFERROR(__xludf.DUMMYFUNCTION("""COMPUTED_VALUE"""),28933)</f>
        <v>28933</v>
      </c>
      <c r="C367" s="35" t="str">
        <f ca="1">IFERROR(__xludf.DUMMYFUNCTION("""COMPUTED_VALUE"""),"XUSHVAQTOVA SOHIBA NORMURATOVNA")</f>
        <v>XUSHVAQTOVA SOHIBA NORMURATOVNA</v>
      </c>
      <c r="D367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368" spans="1:4" ht="18" customHeight="1" x14ac:dyDescent="0.25">
      <c r="A368" s="33" t="str">
        <f ca="1">IFERROR(__xludf.DUMMYFUNCTION("""COMPUTED_VALUE"""),"107. Беруний")</f>
        <v>107. Беруний</v>
      </c>
      <c r="B368" s="34">
        <f ca="1">IFERROR(__xludf.DUMMYFUNCTION("""COMPUTED_VALUE"""),39168)</f>
        <v>39168</v>
      </c>
      <c r="C368" s="35" t="str">
        <f ca="1">IFERROR(__xludf.DUMMYFUNCTION("""COMPUTED_VALUE"""),"AMIRQULOV ISLOMIDDIN ILXOMIDDIN O'G'LI")</f>
        <v>AMIRQULOV ISLOMIDDIN ILXOMIDDIN O'G'LI</v>
      </c>
      <c r="D368" s="35" t="str">
        <f ca="1">IFERROR(__xludf.DUMMYFUNCTION("""COMPUTED_VALUE"""),"Стажер официант")</f>
        <v>Стажер официант</v>
      </c>
    </row>
    <row r="369" spans="1:4" ht="18" customHeight="1" x14ac:dyDescent="0.25">
      <c r="A369" s="33" t="str">
        <f ca="1">IFERROR(__xludf.DUMMYFUNCTION("""COMPUTED_VALUE"""),"107. Беруний")</f>
        <v>107. Беруний</v>
      </c>
      <c r="B369" s="34">
        <f ca="1">IFERROR(__xludf.DUMMYFUNCTION("""COMPUTED_VALUE"""),39327)</f>
        <v>39327</v>
      </c>
      <c r="C369" s="35" t="str">
        <f ca="1">IFERROR(__xludf.DUMMYFUNCTION("""COMPUTED_VALUE"""),"NORMURODOV SAMANDAR INOYATULLOYEVICH")</f>
        <v>NORMURODOV SAMANDAR INOYATULLOYEVICH</v>
      </c>
      <c r="D369" s="35" t="str">
        <f ca="1">IFERROR(__xludf.DUMMYFUNCTION("""COMPUTED_VALUE"""),"Стажер повар Street")</f>
        <v>Стажер повар Street</v>
      </c>
    </row>
    <row r="370" spans="1:4" ht="18" customHeight="1" x14ac:dyDescent="0.25">
      <c r="A370" s="33" t="str">
        <f ca="1">IFERROR(__xludf.DUMMYFUNCTION("""COMPUTED_VALUE"""),"107. Беруний")</f>
        <v>107. Беруний</v>
      </c>
      <c r="B370" s="34">
        <f ca="1">IFERROR(__xludf.DUMMYFUNCTION("""COMPUTED_VALUE"""),38908)</f>
        <v>38908</v>
      </c>
      <c r="C370" s="35" t="str">
        <f ca="1">IFERROR(__xludf.DUMMYFUNCTION("""COMPUTED_VALUE"""),"OMONQULOV BEXRUZ BEKTOSH O'G'LI")</f>
        <v>OMONQULOV BEXRUZ BEKTOSH O'G'LI</v>
      </c>
      <c r="D370" s="35" t="str">
        <f ca="1">IFERROR(__xludf.DUMMYFUNCTION("""COMPUTED_VALUE"""),"Стажер повар WOK")</f>
        <v>Стажер повар WOK</v>
      </c>
    </row>
    <row r="371" spans="1:4" ht="18" customHeight="1" x14ac:dyDescent="0.25">
      <c r="A371" s="33" t="str">
        <f ca="1">IFERROR(__xludf.DUMMYFUNCTION("""COMPUTED_VALUE"""),"107. Беруний")</f>
        <v>107. Беруний</v>
      </c>
      <c r="B371" s="34">
        <f ca="1">IFERROR(__xludf.DUMMYFUNCTION("""COMPUTED_VALUE"""),38374)</f>
        <v>38374</v>
      </c>
      <c r="C371" s="35" t="str">
        <f ca="1">IFERROR(__xludf.DUMMYFUNCTION("""COMPUTED_VALUE"""),"XOLIQULOVA SHOHNOZA MAHMUD QIZI")</f>
        <v>XOLIQULOVA SHOHNOZA MAHMUD QIZI</v>
      </c>
      <c r="D371" s="35" t="str">
        <f ca="1">IFERROR(__xludf.DUMMYFUNCTION("""COMPUTED_VALUE"""),"Стажер первoй линии")</f>
        <v>Стажер первoй линии</v>
      </c>
    </row>
    <row r="372" spans="1:4" ht="18" customHeight="1" x14ac:dyDescent="0.25">
      <c r="A372" s="33" t="str">
        <f ca="1">IFERROR(__xludf.DUMMYFUNCTION("""COMPUTED_VALUE"""),"105. Атлас")</f>
        <v>105. Атлас</v>
      </c>
      <c r="B372" s="34">
        <f ca="1">IFERROR(__xludf.DUMMYFUNCTION("""COMPUTED_VALUE"""),37390)</f>
        <v>37390</v>
      </c>
      <c r="C372" s="35" t="str">
        <f ca="1">IFERROR(__xludf.DUMMYFUNCTION("""COMPUTED_VALUE"""),"XASANOV ASILBEK FAYZIYEVICH")</f>
        <v>XASANOV ASILBEK FAYZIYEVICH</v>
      </c>
      <c r="D372" s="35" t="str">
        <f ca="1">IFERROR(__xludf.DUMMYFUNCTION("""COMPUTED_VALUE"""),"Управляющий")</f>
        <v>Управляющий</v>
      </c>
    </row>
    <row r="373" spans="1:4" ht="18" customHeight="1" x14ac:dyDescent="0.25">
      <c r="A373" s="33" t="str">
        <f ca="1">IFERROR(__xludf.DUMMYFUNCTION("""COMPUTED_VALUE"""),"105. Атлас")</f>
        <v>105. Атлас</v>
      </c>
      <c r="B373" s="34">
        <f ca="1">IFERROR(__xludf.DUMMYFUNCTION("""COMPUTED_VALUE"""),37055)</f>
        <v>37055</v>
      </c>
      <c r="C373" s="35" t="str">
        <f ca="1">IFERROR(__xludf.DUMMYFUNCTION("""COMPUTED_VALUE"""),"ESHMURATOV MUZAFFAR ROXMANKUL O'G'LI")</f>
        <v>ESHMURATOV MUZAFFAR ROXMANKUL O'G'LI</v>
      </c>
      <c r="D373" s="35" t="str">
        <f ca="1">IFERROR(__xludf.DUMMYFUNCTION("""COMPUTED_VALUE"""),"Сменный менеджер")</f>
        <v>Сменный менеджер</v>
      </c>
    </row>
    <row r="374" spans="1:4" ht="18" customHeight="1" x14ac:dyDescent="0.25">
      <c r="A374" s="33" t="str">
        <f ca="1">IFERROR(__xludf.DUMMYFUNCTION("""COMPUTED_VALUE"""),"105. Атлас")</f>
        <v>105. Атлас</v>
      </c>
      <c r="B374" s="34">
        <f ca="1">IFERROR(__xludf.DUMMYFUNCTION("""COMPUTED_VALUE"""),39025)</f>
        <v>39025</v>
      </c>
      <c r="C374" s="35" t="str">
        <f ca="1">IFERROR(__xludf.DUMMYFUNCTION("""COMPUTED_VALUE"""),"O'RINOV NOZIMJON NASIMJONOVICH")</f>
        <v>O'RINOV NOZIMJON NASIMJONOVICH</v>
      </c>
      <c r="D374" s="35" t="str">
        <f ca="1">IFERROR(__xludf.DUMMYFUNCTION("""COMPUTED_VALUE"""),"Стажер сменный менеджер")</f>
        <v>Стажер сменный менеджер</v>
      </c>
    </row>
    <row r="375" spans="1:4" ht="18" customHeight="1" x14ac:dyDescent="0.25">
      <c r="A375" s="33" t="str">
        <f ca="1">IFERROR(__xludf.DUMMYFUNCTION("""COMPUTED_VALUE"""),"105. Атлас")</f>
        <v>105. Атлас</v>
      </c>
      <c r="B375" s="34">
        <f ca="1">IFERROR(__xludf.DUMMYFUNCTION("""COMPUTED_VALUE"""),37858)</f>
        <v>37858</v>
      </c>
      <c r="C375" s="35" t="str">
        <f ca="1">IFERROR(__xludf.DUMMYFUNCTION("""COMPUTED_VALUE"""),"SADULLAYEV ALISHERJON AZAMAT O'G'LI")</f>
        <v>SADULLAYEV ALISHERJON AZAMAT O'G'LI</v>
      </c>
      <c r="D375" s="35" t="str">
        <f ca="1">IFERROR(__xludf.DUMMYFUNCTION("""COMPUTED_VALUE"""),"Сменный менеджер")</f>
        <v>Сменный менеджер</v>
      </c>
    </row>
    <row r="376" spans="1:4" ht="18" customHeight="1" x14ac:dyDescent="0.25">
      <c r="A376" s="33" t="str">
        <f ca="1">IFERROR(__xludf.DUMMYFUNCTION("""COMPUTED_VALUE"""),"105. Атлас")</f>
        <v>105. Атлас</v>
      </c>
      <c r="B376" s="34">
        <f ca="1">IFERROR(__xludf.DUMMYFUNCTION("""COMPUTED_VALUE"""),38903)</f>
        <v>38903</v>
      </c>
      <c r="C376" s="35" t="str">
        <f ca="1">IFERROR(__xludf.DUMMYFUNCTION("""COMPUTED_VALUE"""),"TOSHBOYEVA IRODA SABIXULLO QIZI")</f>
        <v>TOSHBOYEVA IRODA SABIXULLO QIZI</v>
      </c>
      <c r="D376" s="35" t="str">
        <f ca="1">IFERROR(__xludf.DUMMYFUNCTION("""COMPUTED_VALUE"""),"Лидер обслуживания")</f>
        <v>Лидер обслуживания</v>
      </c>
    </row>
    <row r="377" spans="1:4" ht="18" customHeight="1" x14ac:dyDescent="0.25">
      <c r="A377" s="33" t="str">
        <f ca="1">IFERROR(__xludf.DUMMYFUNCTION("""COMPUTED_VALUE"""),"105. Атлас")</f>
        <v>105. Атлас</v>
      </c>
      <c r="B377" s="34">
        <f ca="1">IFERROR(__xludf.DUMMYFUNCTION("""COMPUTED_VALUE"""),38845)</f>
        <v>38845</v>
      </c>
      <c r="C377" s="35" t="str">
        <f ca="1">IFERROR(__xludf.DUMMYFUNCTION("""COMPUTED_VALUE"""),"OCHILOV ADHAM OYBEK O'G'LI")</f>
        <v>OCHILOV ADHAM OYBEK O'G'LI</v>
      </c>
      <c r="D377" s="35" t="str">
        <f ca="1">IFERROR(__xludf.DUMMYFUNCTION("""COMPUTED_VALUE"""),"Лидер производства WOK")</f>
        <v>Лидер производства WOK</v>
      </c>
    </row>
    <row r="378" spans="1:4" ht="18" customHeight="1" x14ac:dyDescent="0.25">
      <c r="A378" s="33" t="str">
        <f ca="1">IFERROR(__xludf.DUMMYFUNCTION("""COMPUTED_VALUE"""),"105. Атлас")</f>
        <v>105. Атлас</v>
      </c>
      <c r="B378" s="34">
        <f ca="1">IFERROR(__xludf.DUMMYFUNCTION("""COMPUTED_VALUE"""),32528)</f>
        <v>32528</v>
      </c>
      <c r="C378" s="35" t="str">
        <f ca="1">IFERROR(__xludf.DUMMYFUNCTION("""COMPUTED_VALUE"""),"AZIZOVA DURDONA LUTPULLAYEVNA")</f>
        <v>AZIZOVA DURDONA LUTPULLAYEVNA</v>
      </c>
      <c r="D378" s="35" t="str">
        <f ca="1">IFERROR(__xludf.DUMMYFUNCTION("""COMPUTED_VALUE"""),"Универсальный повар WOK")</f>
        <v>Универсальный повар WOK</v>
      </c>
    </row>
    <row r="379" spans="1:4" ht="18" customHeight="1" x14ac:dyDescent="0.25">
      <c r="A379" s="33" t="str">
        <f ca="1">IFERROR(__xludf.DUMMYFUNCTION("""COMPUTED_VALUE"""),"105. Атлас")</f>
        <v>105. Атлас</v>
      </c>
      <c r="B379" s="34">
        <f ca="1">IFERROR(__xludf.DUMMYFUNCTION("""COMPUTED_VALUE"""),38494)</f>
        <v>38494</v>
      </c>
      <c r="C379" s="35" t="str">
        <f ca="1">IFERROR(__xludf.DUMMYFUNCTION("""COMPUTED_VALUE"""),"BAQOYEV USMONJON UMIDJONOVICH")</f>
        <v>BAQOYEV USMONJON UMIDJONOVICH</v>
      </c>
      <c r="D379" s="35" t="str">
        <f ca="1">IFERROR(__xludf.DUMMYFUNCTION("""COMPUTED_VALUE"""),"Универсальный повар Street")</f>
        <v>Универсальный повар Street</v>
      </c>
    </row>
    <row r="380" spans="1:4" ht="18" customHeight="1" x14ac:dyDescent="0.25">
      <c r="A380" s="33" t="str">
        <f ca="1">IFERROR(__xludf.DUMMYFUNCTION("""COMPUTED_VALUE"""),"105. Атлас")</f>
        <v>105. Атлас</v>
      </c>
      <c r="B380" s="34">
        <f ca="1">IFERROR(__xludf.DUMMYFUNCTION("""COMPUTED_VALUE"""),38028)</f>
        <v>38028</v>
      </c>
      <c r="C380" s="35" t="str">
        <f ca="1">IFERROR(__xludf.DUMMYFUNCTION("""COMPUTED_VALUE"""),"TUGALOVA DILFUZA NODIR QIZI")</f>
        <v>TUGALOVA DILFUZA NODIR QIZI</v>
      </c>
      <c r="D380" s="35" t="str">
        <f ca="1">IFERROR(__xludf.DUMMYFUNCTION("""COMPUTED_VALUE"""),"Универсальный сотрудник Front line")</f>
        <v>Универсальный сотрудник Front line</v>
      </c>
    </row>
    <row r="381" spans="1:4" ht="18" customHeight="1" x14ac:dyDescent="0.25">
      <c r="A381" s="33" t="str">
        <f ca="1">IFERROR(__xludf.DUMMYFUNCTION("""COMPUTED_VALUE"""),"105. Атлас")</f>
        <v>105. Атлас</v>
      </c>
      <c r="B381" s="34">
        <f ca="1">IFERROR(__xludf.DUMMYFUNCTION("""COMPUTED_VALUE"""),38316)</f>
        <v>38316</v>
      </c>
      <c r="C381" s="35" t="str">
        <f ca="1">IFERROR(__xludf.DUMMYFUNCTION("""COMPUTED_VALUE"""),"SAMARIDINOVA MARJONA AKMAL QIZI")</f>
        <v>SAMARIDINOVA MARJONA AKMAL QIZI</v>
      </c>
      <c r="D381" s="35" t="str">
        <f ca="1">IFERROR(__xludf.DUMMYFUNCTION("""COMPUTED_VALUE"""),"Универсальный сотрудник Front line")</f>
        <v>Универсальный сотрудник Front line</v>
      </c>
    </row>
    <row r="382" spans="1:4" ht="18" customHeight="1" x14ac:dyDescent="0.25">
      <c r="A382" s="33" t="str">
        <f ca="1">IFERROR(__xludf.DUMMYFUNCTION("""COMPUTED_VALUE"""),"105. Атлас")</f>
        <v>105. Атлас</v>
      </c>
      <c r="B382" s="34">
        <f ca="1">IFERROR(__xludf.DUMMYFUNCTION("""COMPUTED_VALUE"""),37095)</f>
        <v>37095</v>
      </c>
      <c r="C382" s="35" t="str">
        <f ca="1">IFERROR(__xludf.DUMMYFUNCTION("""COMPUTED_VALUE"""),"DAVLATOV ADHAM RUSTAM O'G'LI")</f>
        <v>DAVLATOV ADHAM RUSTAM O'G'LI</v>
      </c>
      <c r="D382" s="35" t="str">
        <f ca="1">IFERROR(__xludf.DUMMYFUNCTION("""COMPUTED_VALUE"""),"Универсальный повар WOK")</f>
        <v>Универсальный повар WOK</v>
      </c>
    </row>
    <row r="383" spans="1:4" ht="18" customHeight="1" x14ac:dyDescent="0.25">
      <c r="A383" s="33" t="str">
        <f ca="1">IFERROR(__xludf.DUMMYFUNCTION("""COMPUTED_VALUE"""),"105. Атлас")</f>
        <v>105. Атлас</v>
      </c>
      <c r="B383" s="34">
        <f ca="1">IFERROR(__xludf.DUMMYFUNCTION("""COMPUTED_VALUE"""),38862)</f>
        <v>38862</v>
      </c>
      <c r="C383" s="35" t="str">
        <f ca="1">IFERROR(__xludf.DUMMYFUNCTION("""COMPUTED_VALUE"""),"OQQULOV SAMANDAR SHODIYOR O'G'LI")</f>
        <v>OQQULOV SAMANDAR SHODIYOR O'G'LI</v>
      </c>
      <c r="D383" s="35" t="str">
        <f ca="1">IFERROR(__xludf.DUMMYFUNCTION("""COMPUTED_VALUE"""),"Лидер производства WOK")</f>
        <v>Лидер производства WOK</v>
      </c>
    </row>
    <row r="384" spans="1:4" ht="18" customHeight="1" x14ac:dyDescent="0.25">
      <c r="A384" s="33" t="str">
        <f ca="1">IFERROR(__xludf.DUMMYFUNCTION("""COMPUTED_VALUE"""),"105. Атлас")</f>
        <v>105. Атлас</v>
      </c>
      <c r="B384" s="34">
        <f ca="1">IFERROR(__xludf.DUMMYFUNCTION("""COMPUTED_VALUE"""),38382)</f>
        <v>38382</v>
      </c>
      <c r="C384" s="35" t="str">
        <f ca="1">IFERROR(__xludf.DUMMYFUNCTION("""COMPUTED_VALUE"""),"MIRZAYEV ASADULLA SUYUN O'G'LI")</f>
        <v>MIRZAYEV ASADULLA SUYUN O'G'LI</v>
      </c>
      <c r="D384" s="35" t="str">
        <f ca="1">IFERROR(__xludf.DUMMYFUNCTION("""COMPUTED_VALUE"""),"Универсальный повар WOK")</f>
        <v>Универсальный повар WOK</v>
      </c>
    </row>
    <row r="385" spans="1:4" ht="18" customHeight="1" x14ac:dyDescent="0.25">
      <c r="A385" s="33" t="str">
        <f ca="1">IFERROR(__xludf.DUMMYFUNCTION("""COMPUTED_VALUE"""),"105. Атлас")</f>
        <v>105. Атлас</v>
      </c>
      <c r="B385" s="34">
        <f ca="1">IFERROR(__xludf.DUMMYFUNCTION("""COMPUTED_VALUE"""),38742)</f>
        <v>38742</v>
      </c>
      <c r="C385" s="35" t="str">
        <f ca="1">IFERROR(__xludf.DUMMYFUNCTION("""COMPUTED_VALUE"""),"ESHMATOVA SEVINCH SHODIYOR QIZI")</f>
        <v>ESHMATOVA SEVINCH SHODIYOR QIZI</v>
      </c>
      <c r="D385" s="35" t="str">
        <f ca="1">IFERROR(__xludf.DUMMYFUNCTION("""COMPUTED_VALUE"""),"Универсальный повар Street")</f>
        <v>Универсальный повар Street</v>
      </c>
    </row>
    <row r="386" spans="1:4" ht="18" customHeight="1" x14ac:dyDescent="0.25">
      <c r="A386" s="33" t="str">
        <f ca="1">IFERROR(__xludf.DUMMYFUNCTION("""COMPUTED_VALUE"""),"105. Атлас")</f>
        <v>105. Атлас</v>
      </c>
      <c r="B386" s="34">
        <f ca="1">IFERROR(__xludf.DUMMYFUNCTION("""COMPUTED_VALUE"""),38971)</f>
        <v>38971</v>
      </c>
      <c r="C386" s="35" t="str">
        <f ca="1">IFERROR(__xludf.DUMMYFUNCTION("""COMPUTED_VALUE"""),"ABDURAHIMOV ABDURASHID ABDURASUL O'G'LI")</f>
        <v>ABDURAHIMOV ABDURASHID ABDURASUL O'G'LI</v>
      </c>
      <c r="D386" s="35" t="str">
        <f ca="1">IFERROR(__xludf.DUMMYFUNCTION("""COMPUTED_VALUE"""),"Пиццерист")</f>
        <v>Пиццерист</v>
      </c>
    </row>
    <row r="387" spans="1:4" ht="18" customHeight="1" x14ac:dyDescent="0.25">
      <c r="A387" s="33" t="str">
        <f ca="1">IFERROR(__xludf.DUMMYFUNCTION("""COMPUTED_VALUE"""),"105. Атлас")</f>
        <v>105. Атлас</v>
      </c>
      <c r="B387" s="34">
        <f ca="1">IFERROR(__xludf.DUMMYFUNCTION("""COMPUTED_VALUE"""),38749)</f>
        <v>38749</v>
      </c>
      <c r="C387" s="35" t="str">
        <f ca="1">IFERROR(__xludf.DUMMYFUNCTION("""COMPUTED_VALUE"""),"MO'SINOV SHUKURULLO SHAVKATJON O'G'LI")</f>
        <v>MO'SINOV SHUKURULLO SHAVKATJON O'G'LI</v>
      </c>
      <c r="D387" s="35" t="str">
        <f ca="1">IFERROR(__xludf.DUMMYFUNCTION("""COMPUTED_VALUE"""),"Универсальный повар WOK")</f>
        <v>Универсальный повар WOK</v>
      </c>
    </row>
    <row r="388" spans="1:4" ht="18" customHeight="1" x14ac:dyDescent="0.25">
      <c r="A388" s="33" t="str">
        <f ca="1">IFERROR(__xludf.DUMMYFUNCTION("""COMPUTED_VALUE"""),"105. Атлас")</f>
        <v>105. Атлас</v>
      </c>
      <c r="B388" s="34">
        <f ca="1">IFERROR(__xludf.DUMMYFUNCTION("""COMPUTED_VALUE"""),38793)</f>
        <v>38793</v>
      </c>
      <c r="C388" s="35" t="str">
        <f ca="1">IFERROR(__xludf.DUMMYFUNCTION("""COMPUTED_VALUE"""),"TOLIBJONOV ADXAMJON NODIRBEK O'G'LI")</f>
        <v>TOLIBJONOV ADXAMJON NODIRBEK O'G'LI</v>
      </c>
      <c r="D388" s="35" t="str">
        <f ca="1">IFERROR(__xludf.DUMMYFUNCTION("""COMPUTED_VALUE"""),"Пиццерист")</f>
        <v>Пиццерист</v>
      </c>
    </row>
    <row r="389" spans="1:4" ht="18" customHeight="1" x14ac:dyDescent="0.25">
      <c r="A389" s="33" t="str">
        <f ca="1">IFERROR(__xludf.DUMMYFUNCTION("""COMPUTED_VALUE"""),"105. Атлас")</f>
        <v>105. Атлас</v>
      </c>
      <c r="B389" s="34">
        <f ca="1">IFERROR(__xludf.DUMMYFUNCTION("""COMPUTED_VALUE"""),34753)</f>
        <v>34753</v>
      </c>
      <c r="C389" s="35" t="str">
        <f ca="1">IFERROR(__xludf.DUMMYFUNCTION("""COMPUTED_VALUE"""),"YULDOSHEVA RO'ZIGUL ABDUXALIL QIZI")</f>
        <v>YULDOSHEVA RO'ZIGUL ABDUXALIL QIZI</v>
      </c>
      <c r="D389" s="35" t="str">
        <f ca="1">IFERROR(__xludf.DUMMYFUNCTION("""COMPUTED_VALUE"""),"Пиццерист")</f>
        <v>Пиццерист</v>
      </c>
    </row>
    <row r="390" spans="1:4" ht="18" customHeight="1" x14ac:dyDescent="0.25">
      <c r="A390" s="33" t="str">
        <f ca="1">IFERROR(__xludf.DUMMYFUNCTION("""COMPUTED_VALUE"""),"105. Атлас")</f>
        <v>105. Атлас</v>
      </c>
      <c r="B390" s="34">
        <f ca="1">IFERROR(__xludf.DUMMYFUNCTION("""COMPUTED_VALUE"""),31642)</f>
        <v>31642</v>
      </c>
      <c r="C390" s="39" t="str">
        <f ca="1">IFERROR(__xludf.DUMMYFUNCTION("""COMPUTED_VALUE"""),"XURSANOVA MEXRINISO TO'RAYEVNA")</f>
        <v>XURSANOVA MEXRINISO TO'RAYEVNA</v>
      </c>
      <c r="D390" s="35" t="str">
        <f ca="1">IFERROR(__xludf.DUMMYFUNCTION("""COMPUTED_VALUE"""),"Старший рабочий кухни (Техничка, мойка)")</f>
        <v>Старший рабочий кухни (Техничка, мойка)</v>
      </c>
    </row>
    <row r="391" spans="1:4" ht="18" customHeight="1" x14ac:dyDescent="0.25">
      <c r="A391" s="33" t="str">
        <f ca="1">IFERROR(__xludf.DUMMYFUNCTION("""COMPUTED_VALUE"""),"105. Атлас")</f>
        <v>105. Атлас</v>
      </c>
      <c r="B391" s="34">
        <f ca="1">IFERROR(__xludf.DUMMYFUNCTION("""COMPUTED_VALUE"""),39054)</f>
        <v>39054</v>
      </c>
      <c r="C391" s="35" t="str">
        <f ca="1">IFERROR(__xludf.DUMMYFUNCTION("""COMPUTED_VALUE"""),"QIRG'IZBOYEV OLLOYOXON MUZAFFAR O'G'LI")</f>
        <v>QIRG'IZBOYEV OLLOYOXON MUZAFFAR O'G'LI</v>
      </c>
      <c r="D391" s="35" t="str">
        <f ca="1">IFERROR(__xludf.DUMMYFUNCTION("""COMPUTED_VALUE"""),"Старший повар Wok")</f>
        <v>Старший повар Wok</v>
      </c>
    </row>
    <row r="392" spans="1:4" ht="18" customHeight="1" x14ac:dyDescent="0.25">
      <c r="A392" s="33" t="str">
        <f ca="1">IFERROR(__xludf.DUMMYFUNCTION("""COMPUTED_VALUE"""),"105. Атлас")</f>
        <v>105. Атлас</v>
      </c>
      <c r="B392" s="34">
        <f ca="1">IFERROR(__xludf.DUMMYFUNCTION("""COMPUTED_VALUE"""),38229)</f>
        <v>38229</v>
      </c>
      <c r="C392" s="35" t="str">
        <f ca="1">IFERROR(__xludf.DUMMYFUNCTION("""COMPUTED_VALUE"""),"IBROHIMOV MUHAMMADRIZO ILHOMJON O'G'LI")</f>
        <v>IBROHIMOV MUHAMMADRIZO ILHOMJON O'G'LI</v>
      </c>
      <c r="D392" s="35" t="str">
        <f ca="1">IFERROR(__xludf.DUMMYFUNCTION("""COMPUTED_VALUE"""),"Универсальный сотрудник Front line")</f>
        <v>Универсальный сотрудник Front line</v>
      </c>
    </row>
    <row r="393" spans="1:4" ht="18" customHeight="1" x14ac:dyDescent="0.25">
      <c r="A393" s="33" t="str">
        <f ca="1">IFERROR(__xludf.DUMMYFUNCTION("""COMPUTED_VALUE"""),"105. Атлас")</f>
        <v>105. Атлас</v>
      </c>
      <c r="B393" s="34">
        <f ca="1">IFERROR(__xludf.DUMMYFUNCTION("""COMPUTED_VALUE"""),39102)</f>
        <v>39102</v>
      </c>
      <c r="C393" s="35" t="str">
        <f ca="1">IFERROR(__xludf.DUMMYFUNCTION("""COMPUTED_VALUE"""),"KOMOLIDDINOV AVAZBEK AZIZJON O'G'LI")</f>
        <v>KOMOLIDDINOV AVAZBEK AZIZJON O'G'LI</v>
      </c>
      <c r="D393" s="35" t="str">
        <f ca="1">IFERROR(__xludf.DUMMYFUNCTION("""COMPUTED_VALUE"""),"Младший пиццерист")</f>
        <v>Младший пиццерист</v>
      </c>
    </row>
    <row r="394" spans="1:4" ht="18" customHeight="1" x14ac:dyDescent="0.25">
      <c r="A394" s="33" t="str">
        <f ca="1">IFERROR(__xludf.DUMMYFUNCTION("""COMPUTED_VALUE"""),"105. Атлас")</f>
        <v>105. Атлас</v>
      </c>
      <c r="B394" s="34">
        <f ca="1">IFERROR(__xludf.DUMMYFUNCTION("""COMPUTED_VALUE"""),38632)</f>
        <v>38632</v>
      </c>
      <c r="C394" s="35" t="str">
        <f ca="1">IFERROR(__xludf.DUMMYFUNCTION("""COMPUTED_VALUE"""),"SUVONQULOV ASILBEK FARHOD O'G'LI")</f>
        <v>SUVONQULOV ASILBEK FARHOD O'G'LI</v>
      </c>
      <c r="D394" s="35" t="str">
        <f ca="1">IFERROR(__xludf.DUMMYFUNCTION("""COMPUTED_VALUE"""),"Повар Street")</f>
        <v>Повар Street</v>
      </c>
    </row>
    <row r="395" spans="1:4" ht="18" customHeight="1" x14ac:dyDescent="0.25">
      <c r="A395" s="33" t="str">
        <f ca="1">IFERROR(__xludf.DUMMYFUNCTION("""COMPUTED_VALUE"""),"105. Атлас")</f>
        <v>105. Атлас</v>
      </c>
      <c r="B395" s="34">
        <f ca="1">IFERROR(__xludf.DUMMYFUNCTION("""COMPUTED_VALUE"""),38549)</f>
        <v>38549</v>
      </c>
      <c r="C395" s="35" t="str">
        <f ca="1">IFERROR(__xludf.DUMMYFUNCTION("""COMPUTED_VALUE"""),"MUSTAFAYEV XUMOYUN MIRZAYEV O'G'LI")</f>
        <v>MUSTAFAYEV XUMOYUN MIRZAYEV O'G'LI</v>
      </c>
      <c r="D395" s="35" t="str">
        <f ca="1">IFERROR(__xludf.DUMMYFUNCTION("""COMPUTED_VALUE"""),"Универсальный повар WOK")</f>
        <v>Универсальный повар WOK</v>
      </c>
    </row>
    <row r="396" spans="1:4" ht="18" customHeight="1" x14ac:dyDescent="0.25">
      <c r="A396" s="33" t="str">
        <f ca="1">IFERROR(__xludf.DUMMYFUNCTION("""COMPUTED_VALUE"""),"105. Атлас")</f>
        <v>105. Атлас</v>
      </c>
      <c r="B396" s="34">
        <f ca="1">IFERROR(__xludf.DUMMYFUNCTION("""COMPUTED_VALUE"""),38679)</f>
        <v>38679</v>
      </c>
      <c r="C396" s="35" t="str">
        <f ca="1">IFERROR(__xludf.DUMMYFUNCTION("""COMPUTED_VALUE"""),"O'KTAMOV YOQUBJON FAYZULLO O'G'LI")</f>
        <v>O'KTAMOV YOQUBJON FAYZULLO O'G'LI</v>
      </c>
      <c r="D396" s="35" t="str">
        <f ca="1">IFERROR(__xludf.DUMMYFUNCTION("""COMPUTED_VALUE"""),"Стажер повар WOK")</f>
        <v>Стажер повар WOK</v>
      </c>
    </row>
    <row r="397" spans="1:4" ht="18" customHeight="1" x14ac:dyDescent="0.25">
      <c r="A397" s="33" t="str">
        <f ca="1">IFERROR(__xludf.DUMMYFUNCTION("""COMPUTED_VALUE"""),"105. Атлас")</f>
        <v>105. Атлас</v>
      </c>
      <c r="B397" s="34">
        <f ca="1">IFERROR(__xludf.DUMMYFUNCTION("""COMPUTED_VALUE"""),34748)</f>
        <v>34748</v>
      </c>
      <c r="C397" s="35" t="str">
        <f ca="1">IFERROR(__xludf.DUMMYFUNCTION("""COMPUTED_VALUE"""),"ASROROVA NILUFAR TOLIPJONOVNA")</f>
        <v>ASROROVA NILUFAR TOLIPJONOVNA</v>
      </c>
      <c r="D397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398" spans="1:4" ht="18" customHeight="1" x14ac:dyDescent="0.25">
      <c r="A398" s="33" t="str">
        <f ca="1">IFERROR(__xludf.DUMMYFUNCTION("""COMPUTED_VALUE"""),"105. Атлас")</f>
        <v>105. Атлас</v>
      </c>
      <c r="B398" s="34">
        <f ca="1">IFERROR(__xludf.DUMMYFUNCTION("""COMPUTED_VALUE"""),38749)</f>
        <v>38749</v>
      </c>
      <c r="C398" s="35" t="str">
        <f ca="1">IFERROR(__xludf.DUMMYFUNCTION("""COMPUTED_VALUE"""),"ODILOV SOBIRJON OBID O'G'LI")</f>
        <v>ODILOV SOBIRJON OBID O'G'LI</v>
      </c>
      <c r="D398" s="35" t="str">
        <f ca="1">IFERROR(__xludf.DUMMYFUNCTION("""COMPUTED_VALUE"""),"Стажер повар Street")</f>
        <v>Стажер повар Street</v>
      </c>
    </row>
    <row r="399" spans="1:4" ht="18" customHeight="1" x14ac:dyDescent="0.25">
      <c r="A399" s="33" t="str">
        <f ca="1">IFERROR(__xludf.DUMMYFUNCTION("""COMPUTED_VALUE"""),"105. Атлас")</f>
        <v>105. Атлас</v>
      </c>
      <c r="B399" s="34">
        <f ca="1">IFERROR(__xludf.DUMMYFUNCTION("""COMPUTED_VALUE"""),39377)</f>
        <v>39377</v>
      </c>
      <c r="C399" s="35" t="str">
        <f ca="1">IFERROR(__xludf.DUMMYFUNCTION("""COMPUTED_VALUE"""),"RAHMONALIYEV AZIZBEK MANSURJON O'G'LI")</f>
        <v>RAHMONALIYEV AZIZBEK MANSURJON O'G'LI</v>
      </c>
      <c r="D399" s="35" t="str">
        <f ca="1">IFERROR(__xludf.DUMMYFUNCTION("""COMPUTED_VALUE"""),"Стажер повар WOK")</f>
        <v>Стажер повар WOK</v>
      </c>
    </row>
    <row r="400" spans="1:4" ht="18" customHeight="1" x14ac:dyDescent="0.25">
      <c r="A400" s="33" t="str">
        <f ca="1">IFERROR(__xludf.DUMMYFUNCTION("""COMPUTED_VALUE"""),"105. Атлас")</f>
        <v>105. Атлас</v>
      </c>
      <c r="B400" s="34">
        <f ca="1">IFERROR(__xludf.DUMMYFUNCTION("""COMPUTED_VALUE"""),38041)</f>
        <v>38041</v>
      </c>
      <c r="C400" s="35" t="str">
        <f ca="1">IFERROR(__xludf.DUMMYFUNCTION("""COMPUTED_VALUE"""),"ISMOILOV IBROHIM MA'RUF O'G'LI")</f>
        <v>ISMOILOV IBROHIM MA'RUF O'G'LI</v>
      </c>
      <c r="D400" s="35" t="str">
        <f ca="1">IFERROR(__xludf.DUMMYFUNCTION("""COMPUTED_VALUE"""),"Младший пиццерист")</f>
        <v>Младший пиццерист</v>
      </c>
    </row>
    <row r="401" spans="1:4" ht="18" customHeight="1" x14ac:dyDescent="0.25">
      <c r="A401" s="33" t="str">
        <f ca="1">IFERROR(__xludf.DUMMYFUNCTION("""COMPUTED_VALUE"""),"105. Атлас")</f>
        <v>105. Атлас</v>
      </c>
      <c r="B401" s="34">
        <f ca="1">IFERROR(__xludf.DUMMYFUNCTION("""COMPUTED_VALUE"""),39164)</f>
        <v>39164</v>
      </c>
      <c r="C401" s="35" t="str">
        <f ca="1">IFERROR(__xludf.DUMMYFUNCTION("""COMPUTED_VALUE"""),"YAXSHIMURODOV UMRBEK BURXONOVICH")</f>
        <v>YAXSHIMURODOV UMRBEK BURXONOVICH</v>
      </c>
      <c r="D401" s="35" t="str">
        <f ca="1">IFERROR(__xludf.DUMMYFUNCTION("""COMPUTED_VALUE"""),"Стажер повар WOK")</f>
        <v>Стажер повар WOK</v>
      </c>
    </row>
    <row r="402" spans="1:4" ht="18" customHeight="1" x14ac:dyDescent="0.25">
      <c r="A402" s="33" t="str">
        <f ca="1">IFERROR(__xludf.DUMMYFUNCTION("""COMPUTED_VALUE"""),"105. Атлас")</f>
        <v>105. Атлас</v>
      </c>
      <c r="B402" s="34">
        <f ca="1">IFERROR(__xludf.DUMMYFUNCTION("""COMPUTED_VALUE"""),38520)</f>
        <v>38520</v>
      </c>
      <c r="C402" s="35" t="str">
        <f ca="1">IFERROR(__xludf.DUMMYFUNCTION("""COMPUTED_VALUE"""),"NAZAROVA MUXABBAT IKROM QIZI")</f>
        <v>NAZAROVA MUXABBAT IKROM QIZI</v>
      </c>
      <c r="D402" s="35" t="str">
        <f ca="1">IFERROR(__xludf.DUMMYFUNCTION("""COMPUTED_VALUE"""),"Стажер кассир")</f>
        <v>Стажер кассир</v>
      </c>
    </row>
    <row r="403" spans="1:4" ht="18" customHeight="1" x14ac:dyDescent="0.25">
      <c r="A403" s="33" t="str">
        <f ca="1">IFERROR(__xludf.DUMMYFUNCTION("""COMPUTED_VALUE"""),"104. Ц1 Street")</f>
        <v>104. Ц1 Street</v>
      </c>
      <c r="B403" s="34">
        <f ca="1">IFERROR(__xludf.DUMMYFUNCTION("""COMPUTED_VALUE"""),36046)</f>
        <v>36046</v>
      </c>
      <c r="C403" s="35" t="str">
        <f ca="1">IFERROR(__xludf.DUMMYFUNCTION("""COMPUTED_VALUE"""),"TURSUNOV XUSNIDDIN SHUXRATOVICH")</f>
        <v>TURSUNOV XUSNIDDIN SHUXRATOVICH</v>
      </c>
      <c r="D403" s="35" t="str">
        <f ca="1">IFERROR(__xludf.DUMMYFUNCTION("""COMPUTED_VALUE"""),"Управляющий")</f>
        <v>Управляющий</v>
      </c>
    </row>
    <row r="404" spans="1:4" ht="18" customHeight="1" x14ac:dyDescent="0.25">
      <c r="A404" s="33" t="str">
        <f ca="1">IFERROR(__xludf.DUMMYFUNCTION("""COMPUTED_VALUE"""),"104. Ц1 Street")</f>
        <v>104. Ц1 Street</v>
      </c>
      <c r="B404" s="34">
        <f ca="1">IFERROR(__xludf.DUMMYFUNCTION("""COMPUTED_VALUE"""),31735)</f>
        <v>31735</v>
      </c>
      <c r="C404" s="35" t="str">
        <f ca="1">IFERROR(__xludf.DUMMYFUNCTION("""COMPUTED_VALUE"""),"MIRZAAXMEDOVA IRODA ALIAKBAROVNA")</f>
        <v>MIRZAAXMEDOVA IRODA ALIAKBAROVNA</v>
      </c>
      <c r="D404" s="35" t="str">
        <f ca="1">IFERROR(__xludf.DUMMYFUNCTION("""COMPUTED_VALUE"""),"Сменный менеджер")</f>
        <v>Сменный менеджер</v>
      </c>
    </row>
    <row r="405" spans="1:4" ht="18" customHeight="1" x14ac:dyDescent="0.25">
      <c r="A405" s="33" t="str">
        <f ca="1">IFERROR(__xludf.DUMMYFUNCTION("""COMPUTED_VALUE"""),"104. Ц1 Street")</f>
        <v>104. Ц1 Street</v>
      </c>
      <c r="B405" s="34">
        <f ca="1">IFERROR(__xludf.DUMMYFUNCTION("""COMPUTED_VALUE"""),38972)</f>
        <v>38972</v>
      </c>
      <c r="C405" s="35" t="str">
        <f ca="1">IFERROR(__xludf.DUMMYFUNCTION("""COMPUTED_VALUE"""),"ISMOILOV ISLOM ISMOIL O'G'LI")</f>
        <v>ISMOILOV ISLOM ISMOIL O'G'LI</v>
      </c>
      <c r="D405" s="35" t="str">
        <f ca="1">IFERROR(__xludf.DUMMYFUNCTION("""COMPUTED_VALUE"""),"Сменный менеджер")</f>
        <v>Сменный менеджер</v>
      </c>
    </row>
    <row r="406" spans="1:4" ht="18" customHeight="1" x14ac:dyDescent="0.25">
      <c r="A406" s="33" t="str">
        <f ca="1">IFERROR(__xludf.DUMMYFUNCTION("""COMPUTED_VALUE"""),"104. Ц1 Street")</f>
        <v>104. Ц1 Street</v>
      </c>
      <c r="B406" s="34">
        <f ca="1">IFERROR(__xludf.DUMMYFUNCTION("""COMPUTED_VALUE"""),37889)</f>
        <v>37889</v>
      </c>
      <c r="C406" s="35" t="str">
        <f ca="1">IFERROR(__xludf.DUMMYFUNCTION("""COMPUTED_VALUE"""),"TO'RAYEV XURSHIDBEK FAYOZ O'G'LI")</f>
        <v>TO'RAYEV XURSHIDBEK FAYOZ O'G'LI</v>
      </c>
      <c r="D406" s="35" t="str">
        <f ca="1">IFERROR(__xludf.DUMMYFUNCTION("""COMPUTED_VALUE"""),"Лидер производствa Street")</f>
        <v>Лидер производствa Street</v>
      </c>
    </row>
    <row r="407" spans="1:4" ht="18" customHeight="1" x14ac:dyDescent="0.25">
      <c r="A407" s="33" t="str">
        <f ca="1">IFERROR(__xludf.DUMMYFUNCTION("""COMPUTED_VALUE"""),"104. Ц1 Street")</f>
        <v>104. Ц1 Street</v>
      </c>
      <c r="B407" s="34">
        <f ca="1">IFERROR(__xludf.DUMMYFUNCTION("""COMPUTED_VALUE"""),36025)</f>
        <v>36025</v>
      </c>
      <c r="C407" s="35" t="str">
        <f ca="1">IFERROR(__xludf.DUMMYFUNCTION("""COMPUTED_VALUE"""),"MIRTILLAYEV OLOVIDDIN FAYZULLA O'G'LI")</f>
        <v>MIRTILLAYEV OLOVIDDIN FAYZULLA O'G'LI</v>
      </c>
      <c r="D407" s="35" t="str">
        <f ca="1">IFERROR(__xludf.DUMMYFUNCTION("""COMPUTED_VALUE"""),"Лидер производствa pizza")</f>
        <v>Лидер производствa pizza</v>
      </c>
    </row>
    <row r="408" spans="1:4" ht="18" customHeight="1" x14ac:dyDescent="0.25">
      <c r="A408" s="33" t="str">
        <f ca="1">IFERROR(__xludf.DUMMYFUNCTION("""COMPUTED_VALUE"""),"104. Ц1 Street")</f>
        <v>104. Ц1 Street</v>
      </c>
      <c r="B408" s="34">
        <f ca="1">IFERROR(__xludf.DUMMYFUNCTION("""COMPUTED_VALUE"""),39077)</f>
        <v>39077</v>
      </c>
      <c r="C408" s="35" t="str">
        <f ca="1">IFERROR(__xludf.DUMMYFUNCTION("""COMPUTED_VALUE"""),"SHAMSIYEV OZODBEK ILYOSJONOVICH")</f>
        <v>SHAMSIYEV OZODBEK ILYOSJONOVICH</v>
      </c>
      <c r="D408" s="35" t="str">
        <f ca="1">IFERROR(__xludf.DUMMYFUNCTION("""COMPUTED_VALUE"""),"Лидер производства WOK")</f>
        <v>Лидер производства WOK</v>
      </c>
    </row>
    <row r="409" spans="1:4" ht="18" customHeight="1" x14ac:dyDescent="0.25">
      <c r="A409" s="33" t="str">
        <f ca="1">IFERROR(__xludf.DUMMYFUNCTION("""COMPUTED_VALUE"""),"104. Ц1 Street")</f>
        <v>104. Ц1 Street</v>
      </c>
      <c r="B409" s="34">
        <f ca="1">IFERROR(__xludf.DUMMYFUNCTION("""COMPUTED_VALUE"""),37801)</f>
        <v>37801</v>
      </c>
      <c r="C409" s="35" t="str">
        <f ca="1">IFERROR(__xludf.DUMMYFUNCTION("""COMPUTED_VALUE"""),"SHODIYEVA SHAXRIZODA SHODMON QIZI")</f>
        <v>SHODIYEVA SHAXRIZODA SHODMON QIZI</v>
      </c>
      <c r="D409" s="35" t="str">
        <f ca="1">IFERROR(__xludf.DUMMYFUNCTION("""COMPUTED_VALUE"""),"Лидер производства WOK")</f>
        <v>Лидер производства WOK</v>
      </c>
    </row>
    <row r="410" spans="1:4" ht="18" customHeight="1" x14ac:dyDescent="0.25">
      <c r="A410" s="33" t="str">
        <f ca="1">IFERROR(__xludf.DUMMYFUNCTION("""COMPUTED_VALUE"""),"104. Ц1 Street")</f>
        <v>104. Ц1 Street</v>
      </c>
      <c r="B410" s="34">
        <f ca="1">IFERROR(__xludf.DUMMYFUNCTION("""COMPUTED_VALUE"""),38372)</f>
        <v>38372</v>
      </c>
      <c r="C410" s="35" t="str">
        <f ca="1">IFERROR(__xludf.DUMMYFUNCTION("""COMPUTED_VALUE"""),"ZOXIDOVA MAFTUNA FARRUX QIZI")</f>
        <v>ZOXIDOVA MAFTUNA FARRUX QIZI</v>
      </c>
      <c r="D410" s="35" t="str">
        <f ca="1">IFERROR(__xludf.DUMMYFUNCTION("""COMPUTED_VALUE"""),"Универсальный сотрудник Front line")</f>
        <v>Универсальный сотрудник Front line</v>
      </c>
    </row>
    <row r="411" spans="1:4" ht="18" customHeight="1" x14ac:dyDescent="0.25">
      <c r="A411" s="33" t="str">
        <f ca="1">IFERROR(__xludf.DUMMYFUNCTION("""COMPUTED_VALUE"""),"104. Ц1 Street")</f>
        <v>104. Ц1 Street</v>
      </c>
      <c r="B411" s="34">
        <f ca="1">IFERROR(__xludf.DUMMYFUNCTION("""COMPUTED_VALUE"""),37729)</f>
        <v>37729</v>
      </c>
      <c r="C411" s="35" t="str">
        <f ca="1">IFERROR(__xludf.DUMMYFUNCTION("""COMPUTED_VALUE"""),"XAYRITDINOV AZIMIDDIN NIZOMIDDIN O'G'LI")</f>
        <v>XAYRITDINOV AZIMIDDIN NIZOMIDDIN O'G'LI</v>
      </c>
      <c r="D411" s="35" t="str">
        <f ca="1">IFERROR(__xludf.DUMMYFUNCTION("""COMPUTED_VALUE"""),"Универсальный повар WOK")</f>
        <v>Универсальный повар WOK</v>
      </c>
    </row>
    <row r="412" spans="1:4" ht="18" customHeight="1" x14ac:dyDescent="0.25">
      <c r="A412" s="33" t="str">
        <f ca="1">IFERROR(__xludf.DUMMYFUNCTION("""COMPUTED_VALUE"""),"104. Ц1 Street")</f>
        <v>104. Ц1 Street</v>
      </c>
      <c r="B412" s="34">
        <f ca="1">IFERROR(__xludf.DUMMYFUNCTION("""COMPUTED_VALUE"""),39290)</f>
        <v>39290</v>
      </c>
      <c r="C412" s="35" t="str">
        <f ca="1">IFERROR(__xludf.DUMMYFUNCTION("""COMPUTED_VALUE"""),"MUXTOROV ISLOMBEK BAXTIYOR O'G'LI")</f>
        <v>MUXTOROV ISLOMBEK BAXTIYOR O'G'LI</v>
      </c>
      <c r="D412" s="35" t="str">
        <f ca="1">IFERROR(__xludf.DUMMYFUNCTION("""COMPUTED_VALUE"""),"Пиццерист")</f>
        <v>Пиццерист</v>
      </c>
    </row>
    <row r="413" spans="1:4" ht="18" customHeight="1" x14ac:dyDescent="0.25">
      <c r="A413" s="33" t="str">
        <f ca="1">IFERROR(__xludf.DUMMYFUNCTION("""COMPUTED_VALUE"""),"104. Ц1 Street")</f>
        <v>104. Ц1 Street</v>
      </c>
      <c r="B413" s="34">
        <f ca="1">IFERROR(__xludf.DUMMYFUNCTION("""COMPUTED_VALUE"""),38948)</f>
        <v>38948</v>
      </c>
      <c r="C413" s="35" t="str">
        <f ca="1">IFERROR(__xludf.DUMMYFUNCTION("""COMPUTED_VALUE"""),"MUFTILLOYEV AMIRSHOH FURQAT O'G'LI")</f>
        <v>MUFTILLOYEV AMIRSHOH FURQAT O'G'LI</v>
      </c>
      <c r="D413" s="35" t="str">
        <f ca="1">IFERROR(__xludf.DUMMYFUNCTION("""COMPUTED_VALUE"""),"Пиццерист")</f>
        <v>Пиццерист</v>
      </c>
    </row>
    <row r="414" spans="1:4" ht="18" customHeight="1" x14ac:dyDescent="0.25">
      <c r="A414" s="33" t="str">
        <f ca="1">IFERROR(__xludf.DUMMYFUNCTION("""COMPUTED_VALUE"""),"104. Ц1 Street")</f>
        <v>104. Ц1 Street</v>
      </c>
      <c r="B414" s="34">
        <f ca="1">IFERROR(__xludf.DUMMYFUNCTION("""COMPUTED_VALUE"""),38329)</f>
        <v>38329</v>
      </c>
      <c r="C414" s="35" t="str">
        <f ca="1">IFERROR(__xludf.DUMMYFUNCTION("""COMPUTED_VALUE"""),"BOYMURODOV QUVONCHBEK AKMAL O'G'LI")</f>
        <v>BOYMURODOV QUVONCHBEK AKMAL O'G'LI</v>
      </c>
      <c r="D414" s="35" t="str">
        <f ca="1">IFERROR(__xludf.DUMMYFUNCTION("""COMPUTED_VALUE"""),"Лидер производства WOK")</f>
        <v>Лидер производства WOK</v>
      </c>
    </row>
    <row r="415" spans="1:4" ht="18" customHeight="1" x14ac:dyDescent="0.25">
      <c r="A415" s="33" t="str">
        <f ca="1">IFERROR(__xludf.DUMMYFUNCTION("""COMPUTED_VALUE"""),"104. Ц1 Street")</f>
        <v>104. Ц1 Street</v>
      </c>
      <c r="B415" s="34">
        <f ca="1">IFERROR(__xludf.DUMMYFUNCTION("""COMPUTED_VALUE"""),38634)</f>
        <v>38634</v>
      </c>
      <c r="C415" s="35" t="str">
        <f ca="1">IFERROR(__xludf.DUMMYFUNCTION("""COMPUTED_VALUE"""),"ESHMIRZAYEV ABRORBEK OLIM O'G'LI")</f>
        <v>ESHMIRZAYEV ABRORBEK OLIM O'G'LI</v>
      </c>
      <c r="D415" s="35" t="str">
        <f ca="1">IFERROR(__xludf.DUMMYFUNCTION("""COMPUTED_VALUE"""),"Пиццерист")</f>
        <v>Пиццерист</v>
      </c>
    </row>
    <row r="416" spans="1:4" ht="18" customHeight="1" x14ac:dyDescent="0.25">
      <c r="A416" s="33" t="str">
        <f ca="1">IFERROR(__xludf.DUMMYFUNCTION("""COMPUTED_VALUE"""),"104. Ц1 Street")</f>
        <v>104. Ц1 Street</v>
      </c>
      <c r="B416" s="34">
        <f ca="1">IFERROR(__xludf.DUMMYFUNCTION("""COMPUTED_VALUE"""),38355)</f>
        <v>38355</v>
      </c>
      <c r="C416" s="35" t="str">
        <f ca="1">IFERROR(__xludf.DUMMYFUNCTION("""COMPUTED_VALUE"""),"ADHAMJONOVA DURDONA JAMSHIDBEK QIZI")</f>
        <v>ADHAMJONOVA DURDONA JAMSHIDBEK QIZI</v>
      </c>
      <c r="D416" s="35" t="str">
        <f ca="1">IFERROR(__xludf.DUMMYFUNCTION("""COMPUTED_VALUE"""),"Лидер обслуживания")</f>
        <v>Лидер обслуживания</v>
      </c>
    </row>
    <row r="417" spans="1:4" ht="18" customHeight="1" x14ac:dyDescent="0.25">
      <c r="A417" s="33" t="str">
        <f ca="1">IFERROR(__xludf.DUMMYFUNCTION("""COMPUTED_VALUE"""),"104. Ц1 Street")</f>
        <v>104. Ц1 Street</v>
      </c>
      <c r="B417" s="34">
        <f ca="1">IFERROR(__xludf.DUMMYFUNCTION("""COMPUTED_VALUE"""),39182)</f>
        <v>39182</v>
      </c>
      <c r="C417" s="35" t="str">
        <f ca="1">IFERROR(__xludf.DUMMYFUNCTION("""COMPUTED_VALUE"""),"ODILJONOV BOBURJON TOLIBJON O'G'LI")</f>
        <v>ODILJONOV BOBURJON TOLIBJON O'G'LI</v>
      </c>
      <c r="D417" s="35" t="str">
        <f ca="1">IFERROR(__xludf.DUMMYFUNCTION("""COMPUTED_VALUE"""),"Универсальный повар Street")</f>
        <v>Универсальный повар Street</v>
      </c>
    </row>
    <row r="418" spans="1:4" ht="18" customHeight="1" x14ac:dyDescent="0.25">
      <c r="A418" s="33" t="str">
        <f ca="1">IFERROR(__xludf.DUMMYFUNCTION("""COMPUTED_VALUE"""),"104. Ц1 Street")</f>
        <v>104. Ц1 Street</v>
      </c>
      <c r="B418" s="34">
        <f ca="1">IFERROR(__xludf.DUMMYFUNCTION("""COMPUTED_VALUE"""),39080)</f>
        <v>39080</v>
      </c>
      <c r="C418" s="35" t="str">
        <f ca="1">IFERROR(__xludf.DUMMYFUNCTION("""COMPUTED_VALUE"""),"SOLIBOYEV SHAXRIYOR DILSHOD O'G'LI")</f>
        <v>SOLIBOYEV SHAXRIYOR DILSHOD O'G'LI</v>
      </c>
      <c r="D418" s="35" t="str">
        <f ca="1">IFERROR(__xludf.DUMMYFUNCTION("""COMPUTED_VALUE"""),"Универсальный сотрудник Front line")</f>
        <v>Универсальный сотрудник Front line</v>
      </c>
    </row>
    <row r="419" spans="1:4" ht="18" customHeight="1" x14ac:dyDescent="0.25">
      <c r="A419" s="33" t="str">
        <f ca="1">IFERROR(__xludf.DUMMYFUNCTION("""COMPUTED_VALUE"""),"104. Ц1 Street")</f>
        <v>104. Ц1 Street</v>
      </c>
      <c r="B419" s="34">
        <f ca="1">IFERROR(__xludf.DUMMYFUNCTION("""COMPUTED_VALUE"""),39312)</f>
        <v>39312</v>
      </c>
      <c r="C419" s="35" t="str">
        <f ca="1">IFERROR(__xludf.DUMMYFUNCTION("""COMPUTED_VALUE"""),"YUSUPALIYEV BEKZOD BAXTIYOR O'G'LI")</f>
        <v>YUSUPALIYEV BEKZOD BAXTIYOR O'G'LI</v>
      </c>
      <c r="D419" s="35" t="str">
        <f ca="1">IFERROR(__xludf.DUMMYFUNCTION("""COMPUTED_VALUE"""),"Пиццерист")</f>
        <v>Пиццерист</v>
      </c>
    </row>
    <row r="420" spans="1:4" ht="18" customHeight="1" x14ac:dyDescent="0.25">
      <c r="A420" s="33" t="str">
        <f ca="1">IFERROR(__xludf.DUMMYFUNCTION("""COMPUTED_VALUE"""),"104. Ц1 Street")</f>
        <v>104. Ц1 Street</v>
      </c>
      <c r="B420" s="34">
        <f ca="1">IFERROR(__xludf.DUMMYFUNCTION("""COMPUTED_VALUE"""),38854)</f>
        <v>38854</v>
      </c>
      <c r="C420" s="35" t="str">
        <f ca="1">IFERROR(__xludf.DUMMYFUNCTION("""COMPUTED_VALUE"""),"ASILBEKOVA ZILOLA XUSAN QIZI")</f>
        <v>ASILBEKOVA ZILOLA XUSAN QIZI</v>
      </c>
      <c r="D420" s="35" t="str">
        <f ca="1">IFERROR(__xludf.DUMMYFUNCTION("""COMPUTED_VALUE"""),"Универсальный сотрудник Front line")</f>
        <v>Универсальный сотрудник Front line</v>
      </c>
    </row>
    <row r="421" spans="1:4" ht="18" customHeight="1" x14ac:dyDescent="0.25">
      <c r="A421" s="33" t="str">
        <f ca="1">IFERROR(__xludf.DUMMYFUNCTION("""COMPUTED_VALUE"""),"104. Ц1 Street")</f>
        <v>104. Ц1 Street</v>
      </c>
      <c r="B421" s="34">
        <f ca="1">IFERROR(__xludf.DUMMYFUNCTION("""COMPUTED_VALUE"""),39525)</f>
        <v>39525</v>
      </c>
      <c r="C421" s="35" t="str">
        <f ca="1">IFERROR(__xludf.DUMMYFUNCTION("""COMPUTED_VALUE"""),"YUSUPBOYEV SHOHJAHON O'LMASOVICH")</f>
        <v>YUSUPBOYEV SHOHJAHON O'LMASOVICH</v>
      </c>
      <c r="D421" s="35" t="str">
        <f ca="1">IFERROR(__xludf.DUMMYFUNCTION("""COMPUTED_VALUE"""),"Младший пиццерист")</f>
        <v>Младший пиццерист</v>
      </c>
    </row>
    <row r="422" spans="1:4" ht="18" customHeight="1" x14ac:dyDescent="0.25">
      <c r="A422" s="33" t="str">
        <f ca="1">IFERROR(__xludf.DUMMYFUNCTION("""COMPUTED_VALUE"""),"104. Ц1 Street")</f>
        <v>104. Ц1 Street</v>
      </c>
      <c r="B422" s="34">
        <f ca="1">IFERROR(__xludf.DUMMYFUNCTION("""COMPUTED_VALUE"""),37821)</f>
        <v>37821</v>
      </c>
      <c r="C422" s="35" t="str">
        <f ca="1">IFERROR(__xludf.DUMMYFUNCTION("""COMPUTED_VALUE"""),"XAKIMOV AKMAL AKBAR O'G'LI")</f>
        <v>XAKIMOV AKMAL AKBAR O'G'LI</v>
      </c>
      <c r="D422" s="35" t="str">
        <f ca="1">IFERROR(__xludf.DUMMYFUNCTION("""COMPUTED_VALUE"""),"Универсальный сотрудник Front line")</f>
        <v>Универсальный сотрудник Front line</v>
      </c>
    </row>
    <row r="423" spans="1:4" ht="18" customHeight="1" x14ac:dyDescent="0.25">
      <c r="A423" s="33" t="str">
        <f ca="1">IFERROR(__xludf.DUMMYFUNCTION("""COMPUTED_VALUE"""),"104. Ц1 Street")</f>
        <v>104. Ц1 Street</v>
      </c>
      <c r="B423" s="34">
        <f ca="1">IFERROR(__xludf.DUMMYFUNCTION("""COMPUTED_VALUE"""),38915)</f>
        <v>38915</v>
      </c>
      <c r="C423" s="35" t="str">
        <f ca="1">IFERROR(__xludf.DUMMYFUNCTION("""COMPUTED_VALUE"""),"UMMATOV OG'ABEK UBAYDULLA O'G'LI")</f>
        <v>UMMATOV OG'ABEK UBAYDULLA O'G'LI</v>
      </c>
      <c r="D423" s="35" t="str">
        <f ca="1">IFERROR(__xludf.DUMMYFUNCTION("""COMPUTED_VALUE"""),"Повар WOK")</f>
        <v>Повар WOK</v>
      </c>
    </row>
    <row r="424" spans="1:4" ht="18" customHeight="1" x14ac:dyDescent="0.25">
      <c r="A424" s="33" t="str">
        <f ca="1">IFERROR(__xludf.DUMMYFUNCTION("""COMPUTED_VALUE"""),"104. Ц1 Street")</f>
        <v>104. Ц1 Street</v>
      </c>
      <c r="B424" s="34">
        <f ca="1">IFERROR(__xludf.DUMMYFUNCTION("""COMPUTED_VALUE"""),38540)</f>
        <v>38540</v>
      </c>
      <c r="C424" s="35" t="str">
        <f ca="1">IFERROR(__xludf.DUMMYFUNCTION("""COMPUTED_VALUE"""),"BO'RONOVA GULCHEXRA ABDURASHID QIZI")</f>
        <v>BO'RONOVA GULCHEXRA ABDURASHID QIZI</v>
      </c>
      <c r="D424" s="35" t="str">
        <f ca="1">IFERROR(__xludf.DUMMYFUNCTION("""COMPUTED_VALUE"""),"Рабочий кухни (Техничка, мойка)")</f>
        <v>Рабочий кухни (Техничка, мойка)</v>
      </c>
    </row>
    <row r="425" spans="1:4" ht="18" customHeight="1" x14ac:dyDescent="0.25">
      <c r="A425" s="33" t="str">
        <f ca="1">IFERROR(__xludf.DUMMYFUNCTION("""COMPUTED_VALUE"""),"104. Ц1 Street")</f>
        <v>104. Ц1 Street</v>
      </c>
      <c r="B425" s="34">
        <f ca="1">IFERROR(__xludf.DUMMYFUNCTION("""COMPUTED_VALUE"""),38374)</f>
        <v>38374</v>
      </c>
      <c r="C425" s="35" t="str">
        <f ca="1">IFERROR(__xludf.DUMMYFUNCTION("""COMPUTED_VALUE"""),"SAKLAPBERGENOV SAIDAHMAD IKRAM UG'LI")</f>
        <v>SAKLAPBERGENOV SAIDAHMAD IKRAM UG'LI</v>
      </c>
      <c r="D425" s="35" t="str">
        <f ca="1">IFERROR(__xludf.DUMMYFUNCTION("""COMPUTED_VALUE"""),"Повар WOK")</f>
        <v>Повар WOK</v>
      </c>
    </row>
    <row r="426" spans="1:4" ht="18" customHeight="1" x14ac:dyDescent="0.25">
      <c r="A426" s="33" t="str">
        <f ca="1">IFERROR(__xludf.DUMMYFUNCTION("""COMPUTED_VALUE"""),"104. Ц1 Street")</f>
        <v>104. Ц1 Street</v>
      </c>
      <c r="B426" s="34">
        <f ca="1">IFERROR(__xludf.DUMMYFUNCTION("""COMPUTED_VALUE"""),39366)</f>
        <v>39366</v>
      </c>
      <c r="C426" s="35" t="str">
        <f ca="1">IFERROR(__xludf.DUMMYFUNCTION("""COMPUTED_VALUE"""),"ABDINABIYEV JO'RABEK LAZIZOVICH")</f>
        <v>ABDINABIYEV JO'RABEK LAZIZOVICH</v>
      </c>
      <c r="D426" s="35" t="str">
        <f ca="1">IFERROR(__xludf.DUMMYFUNCTION("""COMPUTED_VALUE"""),"Повар WOK")</f>
        <v>Повар WOK</v>
      </c>
    </row>
    <row r="427" spans="1:4" ht="18" customHeight="1" x14ac:dyDescent="0.25">
      <c r="A427" s="33" t="str">
        <f ca="1">IFERROR(__xludf.DUMMYFUNCTION("""COMPUTED_VALUE"""),"104. Ц1 Street")</f>
        <v>104. Ц1 Street</v>
      </c>
      <c r="B427" s="34">
        <f ca="1">IFERROR(__xludf.DUMMYFUNCTION("""COMPUTED_VALUE"""),39453)</f>
        <v>39453</v>
      </c>
      <c r="C427" s="35" t="str">
        <f ca="1">IFERROR(__xludf.DUMMYFUNCTION("""COMPUTED_VALUE"""),"TO'RAXO'JAYEV HASANXO'JA HIKMATXO'JA O'G'LI")</f>
        <v>TO'RAXO'JAYEV HASANXO'JA HIKMATXO'JA O'G'LI</v>
      </c>
      <c r="D427" s="35" t="str">
        <f ca="1">IFERROR(__xludf.DUMMYFUNCTION("""COMPUTED_VALUE"""),"Повар WOK")</f>
        <v>Повар WOK</v>
      </c>
    </row>
    <row r="428" spans="1:4" ht="18" customHeight="1" x14ac:dyDescent="0.25">
      <c r="A428" s="33" t="str">
        <f ca="1">IFERROR(__xludf.DUMMYFUNCTION("""COMPUTED_VALUE"""),"104. Ц1 Street")</f>
        <v>104. Ц1 Street</v>
      </c>
      <c r="B428" s="34">
        <f ca="1">IFERROR(__xludf.DUMMYFUNCTION("""COMPUTED_VALUE"""),39367)</f>
        <v>39367</v>
      </c>
      <c r="C428" s="35" t="str">
        <f ca="1">IFERROR(__xludf.DUMMYFUNCTION("""COMPUTED_VALUE"""),"TURSUNOV ULUG'BEK XASANBOY O'G'LI")</f>
        <v>TURSUNOV ULUG'BEK XASANBOY O'G'LI</v>
      </c>
      <c r="D428" s="35" t="str">
        <f ca="1">IFERROR(__xludf.DUMMYFUNCTION("""COMPUTED_VALUE"""),"Стажер повар Street")</f>
        <v>Стажер повар Street</v>
      </c>
    </row>
    <row r="429" spans="1:4" ht="18" customHeight="1" x14ac:dyDescent="0.25">
      <c r="A429" s="33" t="str">
        <f ca="1">IFERROR(__xludf.DUMMYFUNCTION("""COMPUTED_VALUE"""),"104. Ц1 Street")</f>
        <v>104. Ц1 Street</v>
      </c>
      <c r="B429" s="34">
        <f ca="1">IFERROR(__xludf.DUMMYFUNCTION("""COMPUTED_VALUE"""),39573)</f>
        <v>39573</v>
      </c>
      <c r="C429" s="35" t="str">
        <f ca="1">IFERROR(__xludf.DUMMYFUNCTION("""COMPUTED_VALUE"""),"TURSUNBOYEV ABDURAHMONBEK DILMUROD O'G'LI")</f>
        <v>TURSUNBOYEV ABDURAHMONBEK DILMUROD O'G'LI</v>
      </c>
      <c r="D429" s="35" t="str">
        <f ca="1">IFERROR(__xludf.DUMMYFUNCTION("""COMPUTED_VALUE"""),"Младший пиццерист")</f>
        <v>Младший пиццерист</v>
      </c>
    </row>
    <row r="430" spans="1:4" ht="18" customHeight="1" x14ac:dyDescent="0.25">
      <c r="A430" s="33" t="str">
        <f ca="1">IFERROR(__xludf.DUMMYFUNCTION("""COMPUTED_VALUE"""),"104. Ц1 Street")</f>
        <v>104. Ц1 Street</v>
      </c>
      <c r="B430" s="34">
        <f ca="1">IFERROR(__xludf.DUMMYFUNCTION("""COMPUTED_VALUE"""),38369)</f>
        <v>38369</v>
      </c>
      <c r="C430" s="35" t="str">
        <f ca="1">IFERROR(__xludf.DUMMYFUNCTION("""COMPUTED_VALUE"""),"RO'ZIQULOVA NIGORA BURXON QIZI")</f>
        <v>RO'ZIQULOVA NIGORA BURXON QIZI</v>
      </c>
      <c r="D430" s="35" t="str">
        <f ca="1">IFERROR(__xludf.DUMMYFUNCTION("""COMPUTED_VALUE"""),"Старший официант")</f>
        <v>Старший официант</v>
      </c>
    </row>
    <row r="431" spans="1:4" ht="18" customHeight="1" x14ac:dyDescent="0.25">
      <c r="A431" s="33" t="str">
        <f ca="1">IFERROR(__xludf.DUMMYFUNCTION("""COMPUTED_VALUE"""),"104. Ц1 Street")</f>
        <v>104. Ц1 Street</v>
      </c>
      <c r="B431" s="34">
        <f ca="1">IFERROR(__xludf.DUMMYFUNCTION("""COMPUTED_VALUE"""),38821)</f>
        <v>38821</v>
      </c>
      <c r="C431" s="35" t="str">
        <f ca="1">IFERROR(__xludf.DUMMYFUNCTION("""COMPUTED_VALUE"""),"MURODULLAYEV BEHRUZBEK ASATULLO O'G'LI")</f>
        <v>MURODULLAYEV BEHRUZBEK ASATULLO O'G'LI</v>
      </c>
      <c r="D431" s="35" t="str">
        <f ca="1">IFERROR(__xludf.DUMMYFUNCTION("""COMPUTED_VALUE"""),"Стажер повар WOK")</f>
        <v>Стажер повар WOK</v>
      </c>
    </row>
    <row r="432" spans="1:4" ht="18" customHeight="1" x14ac:dyDescent="0.25">
      <c r="A432" s="33" t="str">
        <f ca="1">IFERROR(__xludf.DUMMYFUNCTION("""COMPUTED_VALUE"""),"104. Ц1 Street")</f>
        <v>104. Ц1 Street</v>
      </c>
      <c r="B432" s="34">
        <f ca="1">IFERROR(__xludf.DUMMYFUNCTION("""COMPUTED_VALUE"""),39299)</f>
        <v>39299</v>
      </c>
      <c r="C432" s="35" t="str">
        <f ca="1">IFERROR(__xludf.DUMMYFUNCTION("""COMPUTED_VALUE"""),"SAYFULLAYEV SARDOR AZAMAT O'G'LI")</f>
        <v>SAYFULLAYEV SARDOR AZAMAT O'G'LI</v>
      </c>
      <c r="D432" s="35" t="str">
        <f ca="1">IFERROR(__xludf.DUMMYFUNCTION("""COMPUTED_VALUE"""),"Младший пиццерист")</f>
        <v>Младший пиццерист</v>
      </c>
    </row>
    <row r="433" spans="1:4" ht="18" customHeight="1" x14ac:dyDescent="0.25">
      <c r="A433" s="33" t="str">
        <f ca="1">IFERROR(__xludf.DUMMYFUNCTION("""COMPUTED_VALUE"""),"104. Ц1 Street")</f>
        <v>104. Ц1 Street</v>
      </c>
      <c r="B433" s="34">
        <f ca="1">IFERROR(__xludf.DUMMYFUNCTION("""COMPUTED_VALUE"""),39524)</f>
        <v>39524</v>
      </c>
      <c r="C433" s="35" t="str">
        <f ca="1">IFERROR(__xludf.DUMMYFUNCTION("""COMPUTED_VALUE"""),"DAVLATOV OZODBEK ERKIN O'G'LI")</f>
        <v>DAVLATOV OZODBEK ERKIN O'G'LI</v>
      </c>
      <c r="D433" s="35" t="str">
        <f ca="1">IFERROR(__xludf.DUMMYFUNCTION("""COMPUTED_VALUE"""),"Стажер повар Street")</f>
        <v>Стажер повар Street</v>
      </c>
    </row>
    <row r="434" spans="1:4" ht="18" customHeight="1" x14ac:dyDescent="0.25">
      <c r="A434" s="33" t="str">
        <f ca="1">IFERROR(__xludf.DUMMYFUNCTION("""COMPUTED_VALUE"""),"104. Ц1 Street")</f>
        <v>104. Ц1 Street</v>
      </c>
      <c r="B434" s="34">
        <f ca="1">IFERROR(__xludf.DUMMYFUNCTION("""COMPUTED_VALUE"""),38905)</f>
        <v>38905</v>
      </c>
      <c r="C434" s="35" t="str">
        <f ca="1">IFERROR(__xludf.DUMMYFUNCTION("""COMPUTED_VALUE"""),"SAFARBOYEV OZODBEK G'ULOM O'G'LI")</f>
        <v>SAFARBOYEV OZODBEK G'ULOM O'G'LI</v>
      </c>
      <c r="D434" s="35" t="str">
        <f ca="1">IFERROR(__xludf.DUMMYFUNCTION("""COMPUTED_VALUE"""),"Пиццерист")</f>
        <v>Пиццерист</v>
      </c>
    </row>
    <row r="435" spans="1:4" ht="18" customHeight="1" x14ac:dyDescent="0.25">
      <c r="A435" s="33" t="str">
        <f ca="1">IFERROR(__xludf.DUMMYFUNCTION("""COMPUTED_VALUE"""),"104. Ц1 Street")</f>
        <v>104. Ц1 Street</v>
      </c>
      <c r="B435" s="34">
        <f ca="1">IFERROR(__xludf.DUMMYFUNCTION("""COMPUTED_VALUE"""),38330)</f>
        <v>38330</v>
      </c>
      <c r="C435" s="35" t="str">
        <f ca="1">IFERROR(__xludf.DUMMYFUNCTION("""COMPUTED_VALUE"""),"FOZILJONOVA SARVINOZ PO'LATJON QIZI")</f>
        <v>FOZILJONOVA SARVINOZ PO'LATJON QIZI</v>
      </c>
      <c r="D435" s="35" t="str">
        <f ca="1">IFERROR(__xludf.DUMMYFUNCTION("""COMPUTED_VALUE"""),"Стажер первoй линии")</f>
        <v>Стажер первoй линии</v>
      </c>
    </row>
    <row r="436" spans="1:4" ht="18" customHeight="1" x14ac:dyDescent="0.25">
      <c r="A436" s="33" t="str">
        <f ca="1">IFERROR(__xludf.DUMMYFUNCTION("""COMPUTED_VALUE"""),"104. Ц1 Street")</f>
        <v>104. Ц1 Street</v>
      </c>
      <c r="B436" s="34">
        <f ca="1">IFERROR(__xludf.DUMMYFUNCTION("""COMPUTED_VALUE"""),38953)</f>
        <v>38953</v>
      </c>
      <c r="C436" s="35" t="str">
        <f ca="1">IFERROR(__xludf.DUMMYFUNCTION("""COMPUTED_VALUE"""),"ABDUSAMIYEV SARDOR ALISHER O'G'LI")</f>
        <v>ABDUSAMIYEV SARDOR ALISHER O'G'LI</v>
      </c>
      <c r="D436" s="35" t="str">
        <f ca="1">IFERROR(__xludf.DUMMYFUNCTION("""COMPUTED_VALUE"""),"Младший пиццерист")</f>
        <v>Младший пиццерист</v>
      </c>
    </row>
    <row r="437" spans="1:4" ht="18" customHeight="1" x14ac:dyDescent="0.25">
      <c r="A437" s="33" t="str">
        <f ca="1">IFERROR(__xludf.DUMMYFUNCTION("""COMPUTED_VALUE"""),"104. Ц1 Street")</f>
        <v>104. Ц1 Street</v>
      </c>
      <c r="B437" s="34">
        <f ca="1">IFERROR(__xludf.DUMMYFUNCTION("""COMPUTED_VALUE"""),38600)</f>
        <v>38600</v>
      </c>
      <c r="C437" s="35" t="str">
        <f ca="1">IFERROR(__xludf.DUMMYFUNCTION("""COMPUTED_VALUE"""),"MAXMUDOVA OZODAXON DAMIRJON QIZI")</f>
        <v>MAXMUDOVA OZODAXON DAMIRJON QIZI</v>
      </c>
      <c r="D437" s="35" t="str">
        <f ca="1">IFERROR(__xludf.DUMMYFUNCTION("""COMPUTED_VALUE"""),"Стажер первoй линии")</f>
        <v>Стажер первoй линии</v>
      </c>
    </row>
    <row r="438" spans="1:4" ht="18" customHeight="1" x14ac:dyDescent="0.25">
      <c r="A438" s="33" t="str">
        <f ca="1">IFERROR(__xludf.DUMMYFUNCTION("""COMPUTED_VALUE"""),"104. Ц1 Street")</f>
        <v>104. Ц1 Street</v>
      </c>
      <c r="B438" s="34">
        <f ca="1">IFERROR(__xludf.DUMMYFUNCTION("""COMPUTED_VALUE"""),31720)</f>
        <v>31720</v>
      </c>
      <c r="C438" s="35" t="str">
        <f ca="1">IFERROR(__xludf.DUMMYFUNCTION("""COMPUTED_VALUE"""),"AZZAMOVA FOTIMA SHERALIYEVNA")</f>
        <v>AZZAMOVA FOTIMA SHERALIYEVNA</v>
      </c>
      <c r="D438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439" spans="1:4" ht="18" customHeight="1" x14ac:dyDescent="0.25">
      <c r="A439" s="33" t="str">
        <f ca="1">IFERROR(__xludf.DUMMYFUNCTION("""COMPUTED_VALUE"""),"104. Ц1 Street")</f>
        <v>104. Ц1 Street</v>
      </c>
      <c r="B439" s="34">
        <f ca="1">IFERROR(__xludf.DUMMYFUNCTION("""COMPUTED_VALUE"""),36693)</f>
        <v>36693</v>
      </c>
      <c r="C439" s="35" t="str">
        <f ca="1">IFERROR(__xludf.DUMMYFUNCTION("""COMPUTED_VALUE"""),"ABDUQODIROV SHOXRUH NODIR O'G'LI")</f>
        <v>ABDUQODIROV SHOXRUH NODIR O'G'LI</v>
      </c>
      <c r="D439" s="35" t="str">
        <f ca="1">IFERROR(__xludf.DUMMYFUNCTION("""COMPUTED_VALUE"""),"Стажер кассир")</f>
        <v>Стажер кассир</v>
      </c>
    </row>
    <row r="440" spans="1:4" ht="18" customHeight="1" x14ac:dyDescent="0.25">
      <c r="A440" s="33" t="str">
        <f ca="1">IFERROR(__xludf.DUMMYFUNCTION("""COMPUTED_VALUE"""),"104. Ц1 Street")</f>
        <v>104. Ц1 Street</v>
      </c>
      <c r="B440" s="34">
        <f ca="1">IFERROR(__xludf.DUMMYFUNCTION("""COMPUTED_VALUE"""),39543)</f>
        <v>39543</v>
      </c>
      <c r="C440" s="35" t="str">
        <f ca="1">IFERROR(__xludf.DUMMYFUNCTION("""COMPUTED_VALUE"""),"NAJMIDDINOVA MADINABONU NURIDDIN QIZI")</f>
        <v>NAJMIDDINOVA MADINABONU NURIDDIN QIZI</v>
      </c>
      <c r="D440" s="35" t="str">
        <f ca="1">IFERROR(__xludf.DUMMYFUNCTION("""COMPUTED_VALUE"""),"Стажер официант")</f>
        <v>Стажер официант</v>
      </c>
    </row>
    <row r="441" spans="1:4" ht="18" customHeight="1" x14ac:dyDescent="0.25">
      <c r="A441" s="33" t="str">
        <f ca="1">IFERROR(__xludf.DUMMYFUNCTION("""COMPUTED_VALUE"""),"104. Ц1 Street")</f>
        <v>104. Ц1 Street</v>
      </c>
      <c r="B441" s="34">
        <f ca="1">IFERROR(__xludf.DUMMYFUNCTION("""COMPUTED_VALUE"""),38943)</f>
        <v>38943</v>
      </c>
      <c r="C441" s="35" t="str">
        <f ca="1">IFERROR(__xludf.DUMMYFUNCTION("""COMPUTED_VALUE"""),"DAVRONOV TOHIR NORQO'ZI O'G'LI")</f>
        <v>DAVRONOV TOHIR NORQO'ZI O'G'LI</v>
      </c>
      <c r="D441" s="35" t="str">
        <f ca="1">IFERROR(__xludf.DUMMYFUNCTION("""COMPUTED_VALUE"""),"Стажер повар WOK")</f>
        <v>Стажер повар WOK</v>
      </c>
    </row>
    <row r="442" spans="1:4" ht="18" customHeight="1" x14ac:dyDescent="0.25">
      <c r="A442" s="33" t="str">
        <f ca="1">IFERROR(__xludf.DUMMYFUNCTION("""COMPUTED_VALUE"""),"104. Ц1 Street")</f>
        <v>104. Ц1 Street</v>
      </c>
      <c r="B442" s="34">
        <f ca="1">IFERROR(__xludf.DUMMYFUNCTION("""COMPUTED_VALUE"""),38988)</f>
        <v>38988</v>
      </c>
      <c r="C442" s="35" t="str">
        <f ca="1">IFERROR(__xludf.DUMMYFUNCTION("""COMPUTED_VALUE"""),"SAIDMURODOV DOSTONJON MUROD O'G'LI")</f>
        <v>SAIDMURODOV DOSTONJON MUROD O'G'LI</v>
      </c>
      <c r="D442" s="35" t="str">
        <f ca="1">IFERROR(__xludf.DUMMYFUNCTION("""COMPUTED_VALUE"""),"Стажер повар WOK")</f>
        <v>Стажер повар WOK</v>
      </c>
    </row>
    <row r="443" spans="1:4" ht="18" customHeight="1" x14ac:dyDescent="0.25">
      <c r="A443" s="33" t="str">
        <f ca="1">IFERROR(__xludf.DUMMYFUNCTION("""COMPUTED_VALUE"""),"104. Ц1 Street")</f>
        <v>104. Ц1 Street</v>
      </c>
      <c r="B443" s="34">
        <f ca="1">IFERROR(__xludf.DUMMYFUNCTION("""COMPUTED_VALUE"""),36617)</f>
        <v>36617</v>
      </c>
      <c r="C443" s="35" t="str">
        <f ca="1">IFERROR(__xludf.DUMMYFUNCTION("""COMPUTED_VALUE"""),"XUJAYEVA KAMOLA SHUHRAT QIZI")</f>
        <v>XUJAYEVA KAMOLA SHUHRAT QIZI</v>
      </c>
      <c r="D443" s="35" t="str">
        <f ca="1">IFERROR(__xludf.DUMMYFUNCTION("""COMPUTED_VALUE"""),"Младший пиццерист")</f>
        <v>Младший пиццерист</v>
      </c>
    </row>
    <row r="444" spans="1:4" ht="18" customHeight="1" x14ac:dyDescent="0.25">
      <c r="A444" s="33" t="str">
        <f ca="1">IFERROR(__xludf.DUMMYFUNCTION("""COMPUTED_VALUE"""),"104. Ц1 Street")</f>
        <v>104. Ц1 Street</v>
      </c>
      <c r="B444" s="34">
        <f ca="1">IFERROR(__xludf.DUMMYFUNCTION("""COMPUTED_VALUE"""),37632)</f>
        <v>37632</v>
      </c>
      <c r="C444" s="35" t="str">
        <f ca="1">IFERROR(__xludf.DUMMYFUNCTION("""COMPUTED_VALUE"""),"QURBONOVA UMIDA BEKMUROD QIZI")</f>
        <v>QURBONOVA UMIDA BEKMUROD QIZI</v>
      </c>
      <c r="D444" s="35" t="str">
        <f ca="1">IFERROR(__xludf.DUMMYFUNCTION("""COMPUTED_VALUE"""),"Официант")</f>
        <v>Официант</v>
      </c>
    </row>
    <row r="445" spans="1:4" ht="18" customHeight="1" x14ac:dyDescent="0.25">
      <c r="A445" s="33" t="str">
        <f ca="1">IFERROR(__xludf.DUMMYFUNCTION("""COMPUTED_VALUE"""),"103. Сам.дарвоза")</f>
        <v>103. Сам.дарвоза</v>
      </c>
      <c r="B445" s="34">
        <f ca="1">IFERROR(__xludf.DUMMYFUNCTION("""COMPUTED_VALUE"""),36449)</f>
        <v>36449</v>
      </c>
      <c r="C445" s="35" t="str">
        <f ca="1">IFERROR(__xludf.DUMMYFUNCTION("""COMPUTED_VALUE"""),"TOLMASOV RAXMON MAXMUD O'G'LI")</f>
        <v>TOLMASOV RAXMON MAXMUD O'G'LI</v>
      </c>
      <c r="D445" s="35" t="str">
        <f ca="1">IFERROR(__xludf.DUMMYFUNCTION("""COMPUTED_VALUE"""),"Стажер управляющий")</f>
        <v>Стажер управляющий</v>
      </c>
    </row>
    <row r="446" spans="1:4" ht="18" customHeight="1" x14ac:dyDescent="0.25">
      <c r="A446" s="33" t="str">
        <f ca="1">IFERROR(__xludf.DUMMYFUNCTION("""COMPUTED_VALUE"""),"103. Сам.дарвоза")</f>
        <v>103. Сам.дарвоза</v>
      </c>
      <c r="B446" s="34">
        <f ca="1">IFERROR(__xludf.DUMMYFUNCTION("""COMPUTED_VALUE"""),38117)</f>
        <v>38117</v>
      </c>
      <c r="C446" s="35" t="str">
        <f ca="1">IFERROR(__xludf.DUMMYFUNCTION("""COMPUTED_VALUE"""),"MUTALIBOVA MOHLAROYIM ZIYODULLA QIZI")</f>
        <v>MUTALIBOVA MOHLAROYIM ZIYODULLA QIZI</v>
      </c>
      <c r="D446" s="35" t="str">
        <f ca="1">IFERROR(__xludf.DUMMYFUNCTION("""COMPUTED_VALUE"""),"Сменный менеджер")</f>
        <v>Сменный менеджер</v>
      </c>
    </row>
    <row r="447" spans="1:4" ht="18" customHeight="1" x14ac:dyDescent="0.25">
      <c r="A447" s="33" t="str">
        <f ca="1">IFERROR(__xludf.DUMMYFUNCTION("""COMPUTED_VALUE"""),"103. Сам.дарвоза")</f>
        <v>103. Сам.дарвоза</v>
      </c>
      <c r="B447" s="34">
        <f ca="1">IFERROR(__xludf.DUMMYFUNCTION("""COMPUTED_VALUE"""),35418)</f>
        <v>35418</v>
      </c>
      <c r="C447" s="35" t="str">
        <f ca="1">IFERROR(__xludf.DUMMYFUNCTION("""COMPUTED_VALUE"""),"KENJAYEV MUXRIDDIN TOLIB O'G'LI")</f>
        <v>KENJAYEV MUXRIDDIN TOLIB O'G'LI</v>
      </c>
      <c r="D447" s="35" t="str">
        <f ca="1">IFERROR(__xludf.DUMMYFUNCTION("""COMPUTED_VALUE"""),"Сменный менеджер")</f>
        <v>Сменный менеджер</v>
      </c>
    </row>
    <row r="448" spans="1:4" ht="18" customHeight="1" x14ac:dyDescent="0.25">
      <c r="A448" s="33" t="str">
        <f ca="1">IFERROR(__xludf.DUMMYFUNCTION("""COMPUTED_VALUE"""),"103. Сам.дарвоза")</f>
        <v>103. Сам.дарвоза</v>
      </c>
      <c r="B448" s="34">
        <f ca="1">IFERROR(__xludf.DUMMYFUNCTION("""COMPUTED_VALUE"""),36856)</f>
        <v>36856</v>
      </c>
      <c r="C448" s="35" t="str">
        <f ca="1">IFERROR(__xludf.DUMMYFUNCTION("""COMPUTED_VALUE"""),"MUSTAFAYEVA GULAYDA JALG'ASBAY QIZI")</f>
        <v>MUSTAFAYEVA GULAYDA JALG'ASBAY QIZI</v>
      </c>
      <c r="D448" s="35" t="str">
        <f ca="1">IFERROR(__xludf.DUMMYFUNCTION("""COMPUTED_VALUE"""),"Стажер сменный менеджер")</f>
        <v>Стажер сменный менеджер</v>
      </c>
    </row>
    <row r="449" spans="1:4" ht="18" customHeight="1" x14ac:dyDescent="0.25">
      <c r="A449" s="33" t="str">
        <f ca="1">IFERROR(__xludf.DUMMYFUNCTION("""COMPUTED_VALUE"""),"103. Сам.дарвоза")</f>
        <v>103. Сам.дарвоза</v>
      </c>
      <c r="B449" s="34">
        <f ca="1">IFERROR(__xludf.DUMMYFUNCTION("""COMPUTED_VALUE"""),37898)</f>
        <v>37898</v>
      </c>
      <c r="C449" s="35" t="str">
        <f ca="1">IFERROR(__xludf.DUMMYFUNCTION("""COMPUTED_VALUE"""),"MEHMONBOYEV MIRG'OLIB ISLOMJON O'G'LI")</f>
        <v>MEHMONBOYEV MIRG'OLIB ISLOMJON O'G'LI</v>
      </c>
      <c r="D449" s="35" t="str">
        <f ca="1">IFERROR(__xludf.DUMMYFUNCTION("""COMPUTED_VALUE"""),"Стажер сменный менеджер")</f>
        <v>Стажер сменный менеджер</v>
      </c>
    </row>
    <row r="450" spans="1:4" ht="18" customHeight="1" x14ac:dyDescent="0.25">
      <c r="A450" s="33" t="str">
        <f ca="1">IFERROR(__xludf.DUMMYFUNCTION("""COMPUTED_VALUE"""),"103. Сам.дарвоза")</f>
        <v>103. Сам.дарвоза</v>
      </c>
      <c r="B450" s="34">
        <f ca="1">IFERROR(__xludf.DUMMYFUNCTION("""COMPUTED_VALUE"""),38635)</f>
        <v>38635</v>
      </c>
      <c r="C450" s="35" t="str">
        <f ca="1">IFERROR(__xludf.DUMMYFUNCTION("""COMPUTED_VALUE"""),"TURDIQULOVA FARANGIZ SALOHIDDIN QIZI")</f>
        <v>TURDIQULOVA FARANGIZ SALOHIDDIN QIZI</v>
      </c>
      <c r="D450" s="35" t="str">
        <f ca="1">IFERROR(__xludf.DUMMYFUNCTION("""COMPUTED_VALUE"""),"Универсальный повар Street")</f>
        <v>Универсальный повар Street</v>
      </c>
    </row>
    <row r="451" spans="1:4" ht="18" customHeight="1" x14ac:dyDescent="0.25">
      <c r="A451" s="33" t="str">
        <f ca="1">IFERROR(__xludf.DUMMYFUNCTION("""COMPUTED_VALUE"""),"103. Сам.дарвоза")</f>
        <v>103. Сам.дарвоза</v>
      </c>
      <c r="B451" s="34">
        <f ca="1">IFERROR(__xludf.DUMMYFUNCTION("""COMPUTED_VALUE"""),39143)</f>
        <v>39143</v>
      </c>
      <c r="C451" s="35" t="str">
        <f ca="1">IFERROR(__xludf.DUMMYFUNCTION("""COMPUTED_VALUE"""),"MAMAJONOV SHUKURJON IQBOLJON O'G'LI")</f>
        <v>MAMAJONOV SHUKURJON IQBOLJON O'G'LI</v>
      </c>
      <c r="D451" s="35" t="str">
        <f ca="1">IFERROR(__xludf.DUMMYFUNCTION("""COMPUTED_VALUE"""),"Универсальный повар Street")</f>
        <v>Универсальный повар Street</v>
      </c>
    </row>
    <row r="452" spans="1:4" ht="18" customHeight="1" x14ac:dyDescent="0.25">
      <c r="A452" s="33" t="str">
        <f ca="1">IFERROR(__xludf.DUMMYFUNCTION("""COMPUTED_VALUE"""),"103. Сам.дарвоза")</f>
        <v>103. Сам.дарвоза</v>
      </c>
      <c r="B452" s="34">
        <f ca="1">IFERROR(__xludf.DUMMYFUNCTION("""COMPUTED_VALUE"""),39108)</f>
        <v>39108</v>
      </c>
      <c r="C452" s="35" t="str">
        <f ca="1">IFERROR(__xludf.DUMMYFUNCTION("""COMPUTED_VALUE"""),"TURSUNALIYEV SARVARBEK G'ULOMJON O'G'LI")</f>
        <v>TURSUNALIYEV SARVARBEK G'ULOMJON O'G'LI</v>
      </c>
      <c r="D452" s="35" t="str">
        <f ca="1">IFERROR(__xludf.DUMMYFUNCTION("""COMPUTED_VALUE"""),"Старший повар Wok")</f>
        <v>Старший повар Wok</v>
      </c>
    </row>
    <row r="453" spans="1:4" ht="18" customHeight="1" x14ac:dyDescent="0.25">
      <c r="A453" s="33" t="str">
        <f ca="1">IFERROR(__xludf.DUMMYFUNCTION("""COMPUTED_VALUE"""),"103. Сам.дарвоза")</f>
        <v>103. Сам.дарвоза</v>
      </c>
      <c r="B453" s="34">
        <f ca="1">IFERROR(__xludf.DUMMYFUNCTION("""COMPUTED_VALUE"""),38734)</f>
        <v>38734</v>
      </c>
      <c r="C453" s="35" t="str">
        <f ca="1">IFERROR(__xludf.DUMMYFUNCTION("""COMPUTED_VALUE"""),"SAYLAUBAEVA GULDANA TALGAT QIZI")</f>
        <v>SAYLAUBAEVA GULDANA TALGAT QIZI</v>
      </c>
      <c r="D453" s="35" t="str">
        <f ca="1">IFERROR(__xludf.DUMMYFUNCTION("""COMPUTED_VALUE"""),"Пиццерист")</f>
        <v>Пиццерист</v>
      </c>
    </row>
    <row r="454" spans="1:4" ht="18" customHeight="1" x14ac:dyDescent="0.25">
      <c r="A454" s="33" t="str">
        <f ca="1">IFERROR(__xludf.DUMMYFUNCTION("""COMPUTED_VALUE"""),"103. Сам.дарвоза")</f>
        <v>103. Сам.дарвоза</v>
      </c>
      <c r="B454" s="34">
        <f ca="1">IFERROR(__xludf.DUMMYFUNCTION("""COMPUTED_VALUE"""),39060)</f>
        <v>39060</v>
      </c>
      <c r="C454" s="35" t="str">
        <f ca="1">IFERROR(__xludf.DUMMYFUNCTION("""COMPUTED_VALUE"""),"ONGARBAEV AZIZBEK AZAT ULI")</f>
        <v>ONGARBAEV AZIZBEK AZAT ULI</v>
      </c>
      <c r="D454" s="35" t="str">
        <f ca="1">IFERROR(__xludf.DUMMYFUNCTION("""COMPUTED_VALUE"""),"Универсальный сотрудник Front line")</f>
        <v>Универсальный сотрудник Front line</v>
      </c>
    </row>
    <row r="455" spans="1:4" ht="18" customHeight="1" x14ac:dyDescent="0.25">
      <c r="A455" s="33" t="str">
        <f ca="1">IFERROR(__xludf.DUMMYFUNCTION("""COMPUTED_VALUE"""),"103. Сам.дарвоза")</f>
        <v>103. Сам.дарвоза</v>
      </c>
      <c r="B455" s="34">
        <f ca="1">IFERROR(__xludf.DUMMYFUNCTION("""COMPUTED_VALUE"""),37965)</f>
        <v>37965</v>
      </c>
      <c r="C455" s="35" t="str">
        <f ca="1">IFERROR(__xludf.DUMMYFUNCTION("""COMPUTED_VALUE"""),"ABDIYEV ABROR AHROROVICH")</f>
        <v>ABDIYEV ABROR AHROROVICH</v>
      </c>
      <c r="D455" s="35" t="str">
        <f ca="1">IFERROR(__xludf.DUMMYFUNCTION("""COMPUTED_VALUE"""),"Универсальный повар WOK")</f>
        <v>Универсальный повар WOK</v>
      </c>
    </row>
    <row r="456" spans="1:4" ht="18" customHeight="1" x14ac:dyDescent="0.25">
      <c r="A456" s="33" t="str">
        <f ca="1">IFERROR(__xludf.DUMMYFUNCTION("""COMPUTED_VALUE"""),"103. Сам.дарвоза")</f>
        <v>103. Сам.дарвоза</v>
      </c>
      <c r="B456" s="34">
        <f ca="1">IFERROR(__xludf.DUMMYFUNCTION("""COMPUTED_VALUE"""),38584)</f>
        <v>38584</v>
      </c>
      <c r="C456" s="35" t="str">
        <f ca="1">IFERROR(__xludf.DUMMYFUNCTION("""COMPUTED_VALUE"""),"AZAMOV AZIZBEK AKMAL O'G'LI")</f>
        <v>AZAMOV AZIZBEK AKMAL O'G'LI</v>
      </c>
      <c r="D456" s="35" t="str">
        <f ca="1">IFERROR(__xludf.DUMMYFUNCTION("""COMPUTED_VALUE"""),"Старший повар Wok")</f>
        <v>Старший повар Wok</v>
      </c>
    </row>
    <row r="457" spans="1:4" ht="18" customHeight="1" x14ac:dyDescent="0.25">
      <c r="A457" s="33" t="str">
        <f ca="1">IFERROR(__xludf.DUMMYFUNCTION("""COMPUTED_VALUE"""),"103. Сам.дарвоза")</f>
        <v>103. Сам.дарвоза</v>
      </c>
      <c r="B457" s="34">
        <f ca="1">IFERROR(__xludf.DUMMYFUNCTION("""COMPUTED_VALUE"""),38671)</f>
        <v>38671</v>
      </c>
      <c r="C457" s="35" t="str">
        <f ca="1">IFERROR(__xludf.DUMMYFUNCTION("""COMPUTED_VALUE"""),"BAXROMOVA HUSNORA BEKTEMIR QIZI")</f>
        <v>BAXROMOVA HUSNORA BEKTEMIR QIZI</v>
      </c>
      <c r="D457" s="35" t="str">
        <f ca="1">IFERROR(__xludf.DUMMYFUNCTION("""COMPUTED_VALUE"""),"Старший повар Wok")</f>
        <v>Старший повар Wok</v>
      </c>
    </row>
    <row r="458" spans="1:4" ht="18" customHeight="1" x14ac:dyDescent="0.25">
      <c r="A458" s="33" t="str">
        <f ca="1">IFERROR(__xludf.DUMMYFUNCTION("""COMPUTED_VALUE"""),"103. Сам.дарвоза")</f>
        <v>103. Сам.дарвоза</v>
      </c>
      <c r="B458" s="34">
        <f ca="1">IFERROR(__xludf.DUMMYFUNCTION("""COMPUTED_VALUE"""),37986)</f>
        <v>37986</v>
      </c>
      <c r="C458" s="35" t="str">
        <f ca="1">IFERROR(__xludf.DUMMYFUNCTION("""COMPUTED_VALUE"""),"VALIYEV JALOLIDDIN OLIM O'G'LI")</f>
        <v>VALIYEV JALOLIDDIN OLIM O'G'LI</v>
      </c>
      <c r="D458" s="35" t="str">
        <f ca="1">IFERROR(__xludf.DUMMYFUNCTION("""COMPUTED_VALUE"""),"Старший повар Wok")</f>
        <v>Старший повар Wok</v>
      </c>
    </row>
    <row r="459" spans="1:4" ht="18" customHeight="1" x14ac:dyDescent="0.25">
      <c r="A459" s="33" t="str">
        <f ca="1">IFERROR(__xludf.DUMMYFUNCTION("""COMPUTED_VALUE"""),"103. Сам.дарвоза")</f>
        <v>103. Сам.дарвоза</v>
      </c>
      <c r="B459" s="34">
        <f ca="1">IFERROR(__xludf.DUMMYFUNCTION("""COMPUTED_VALUE"""),38977)</f>
        <v>38977</v>
      </c>
      <c r="C459" s="35" t="str">
        <f ca="1">IFERROR(__xludf.DUMMYFUNCTION("""COMPUTED_VALUE"""),"PANJIYEVA GULCHEHRA G'ANISHER QIZI")</f>
        <v>PANJIYEVA GULCHEHRA G'ANISHER QIZI</v>
      </c>
      <c r="D459" s="35" t="str">
        <f ca="1">IFERROR(__xludf.DUMMYFUNCTION("""COMPUTED_VALUE"""),"Пиццерист")</f>
        <v>Пиццерист</v>
      </c>
    </row>
    <row r="460" spans="1:4" ht="18" customHeight="1" x14ac:dyDescent="0.25">
      <c r="A460" s="33" t="str">
        <f ca="1">IFERROR(__xludf.DUMMYFUNCTION("""COMPUTED_VALUE"""),"103. Сам.дарвоза")</f>
        <v>103. Сам.дарвоза</v>
      </c>
      <c r="B460" s="34">
        <f ca="1">IFERROR(__xludf.DUMMYFUNCTION("""COMPUTED_VALUE"""),38100)</f>
        <v>38100</v>
      </c>
      <c r="C460" s="35" t="str">
        <f ca="1">IFERROR(__xludf.DUMMYFUNCTION("""COMPUTED_VALUE"""),"TAVAKKALOV ULUGBEK OYBEK O'G'LI")</f>
        <v>TAVAKKALOV ULUGBEK OYBEK O'G'LI</v>
      </c>
      <c r="D460" s="35" t="str">
        <f ca="1">IFERROR(__xludf.DUMMYFUNCTION("""COMPUTED_VALUE"""),"Пиццерист")</f>
        <v>Пиццерист</v>
      </c>
    </row>
    <row r="461" spans="1:4" ht="18" customHeight="1" x14ac:dyDescent="0.25">
      <c r="A461" s="33" t="str">
        <f ca="1">IFERROR(__xludf.DUMMYFUNCTION("""COMPUTED_VALUE"""),"103. Сам.дарвоза")</f>
        <v>103. Сам.дарвоза</v>
      </c>
      <c r="B461" s="34">
        <f ca="1">IFERROR(__xludf.DUMMYFUNCTION("""COMPUTED_VALUE"""),28984)</f>
        <v>28984</v>
      </c>
      <c r="C461" s="35" t="str">
        <f ca="1">IFERROR(__xludf.DUMMYFUNCTION("""COMPUTED_VALUE"""),"AXMEDOVA GULBAXOR YADGAROVNA")</f>
        <v>AXMEDOVA GULBAXOR YADGAROVNA</v>
      </c>
      <c r="D461" s="35" t="str">
        <f ca="1">IFERROR(__xludf.DUMMYFUNCTION("""COMPUTED_VALUE"""),"Младший пиццерист")</f>
        <v>Младший пиццерист</v>
      </c>
    </row>
    <row r="462" spans="1:4" ht="18" customHeight="1" x14ac:dyDescent="0.25">
      <c r="A462" s="33" t="str">
        <f ca="1">IFERROR(__xludf.DUMMYFUNCTION("""COMPUTED_VALUE"""),"103. Сам.дарвоза")</f>
        <v>103. Сам.дарвоза</v>
      </c>
      <c r="B462" s="34">
        <f ca="1">IFERROR(__xludf.DUMMYFUNCTION("""COMPUTED_VALUE"""),38770)</f>
        <v>38770</v>
      </c>
      <c r="C462" s="35" t="str">
        <f ca="1">IFERROR(__xludf.DUMMYFUNCTION("""COMPUTED_VALUE"""),"ASROROVA KOMILA LUTFULLA QIZI")</f>
        <v>ASROROVA KOMILA LUTFULLA QIZI</v>
      </c>
      <c r="D462" s="35" t="str">
        <f ca="1">IFERROR(__xludf.DUMMYFUNCTION("""COMPUTED_VALUE"""),"Кассир")</f>
        <v>Кассир</v>
      </c>
    </row>
    <row r="463" spans="1:4" ht="18" customHeight="1" x14ac:dyDescent="0.25">
      <c r="A463" s="33" t="str">
        <f ca="1">IFERROR(__xludf.DUMMYFUNCTION("""COMPUTED_VALUE"""),"103. Сам.дарвоза")</f>
        <v>103. Сам.дарвоза</v>
      </c>
      <c r="B463" s="34">
        <f ca="1">IFERROR(__xludf.DUMMYFUNCTION("""COMPUTED_VALUE"""),38303)</f>
        <v>38303</v>
      </c>
      <c r="C463" s="35" t="str">
        <f ca="1">IFERROR(__xludf.DUMMYFUNCTION("""COMPUTED_VALUE"""),"XAYRULLAYEVA CHEHROZA RAHMATULLA QIZI")</f>
        <v>XAYRULLAYEVA CHEHROZA RAHMATULLA QIZI</v>
      </c>
      <c r="D463" s="35" t="str">
        <f ca="1">IFERROR(__xludf.DUMMYFUNCTION("""COMPUTED_VALUE"""),"Младший пиццерист")</f>
        <v>Младший пиццерист</v>
      </c>
    </row>
    <row r="464" spans="1:4" ht="18" customHeight="1" x14ac:dyDescent="0.25">
      <c r="A464" s="33" t="str">
        <f ca="1">IFERROR(__xludf.DUMMYFUNCTION("""COMPUTED_VALUE"""),"103. Сам.дарвоза")</f>
        <v>103. Сам.дарвоза</v>
      </c>
      <c r="B464" s="34">
        <f ca="1">IFERROR(__xludf.DUMMYFUNCTION("""COMPUTED_VALUE"""),38413)</f>
        <v>38413</v>
      </c>
      <c r="C464" s="35" t="str">
        <f ca="1">IFERROR(__xludf.DUMMYFUNCTION("""COMPUTED_VALUE"""),"JUMANAZAROV ANVARBEK TO'LQIN O'G'LI")</f>
        <v>JUMANAZAROV ANVARBEK TO'LQIN O'G'LI</v>
      </c>
      <c r="D464" s="35" t="str">
        <f ca="1">IFERROR(__xludf.DUMMYFUNCTION("""COMPUTED_VALUE"""),"Стажер повар WOK")</f>
        <v>Стажер повар WOK</v>
      </c>
    </row>
    <row r="465" spans="1:4" ht="18" customHeight="1" x14ac:dyDescent="0.25">
      <c r="A465" s="33" t="str">
        <f ca="1">IFERROR(__xludf.DUMMYFUNCTION("""COMPUTED_VALUE"""),"103. Сам.дарвоза")</f>
        <v>103. Сам.дарвоза</v>
      </c>
      <c r="B465" s="34">
        <f ca="1">IFERROR(__xludf.DUMMYFUNCTION("""COMPUTED_VALUE"""),38976)</f>
        <v>38976</v>
      </c>
      <c r="C465" s="35" t="str">
        <f ca="1">IFERROR(__xludf.DUMMYFUNCTION("""COMPUTED_VALUE"""),"ABDUMALIKOVA SAYYORAXON ILYOSBEK QIZI")</f>
        <v>ABDUMALIKOVA SAYYORAXON ILYOSBEK QIZI</v>
      </c>
      <c r="D465" s="35" t="str">
        <f ca="1">IFERROR(__xludf.DUMMYFUNCTION("""COMPUTED_VALUE"""),"Стажер повар WOK")</f>
        <v>Стажер повар WOK</v>
      </c>
    </row>
    <row r="466" spans="1:4" ht="18" customHeight="1" x14ac:dyDescent="0.25">
      <c r="A466" s="33" t="str">
        <f ca="1">IFERROR(__xludf.DUMMYFUNCTION("""COMPUTED_VALUE"""),"103. Сам.дарвоза")</f>
        <v>103. Сам.дарвоза</v>
      </c>
      <c r="B466" s="34">
        <f ca="1">IFERROR(__xludf.DUMMYFUNCTION("""COMPUTED_VALUE"""),38566)</f>
        <v>38566</v>
      </c>
      <c r="C466" s="35" t="str">
        <f ca="1">IFERROR(__xludf.DUMMYFUNCTION("""COMPUTED_VALUE"""),"SOBIROVA DILRABO MUXIDDIN QIZI")</f>
        <v>SOBIROVA DILRABO MUXIDDIN QIZI</v>
      </c>
      <c r="D466" s="35" t="str">
        <f ca="1">IFERROR(__xludf.DUMMYFUNCTION("""COMPUTED_VALUE"""),"Кассир")</f>
        <v>Кассир</v>
      </c>
    </row>
    <row r="467" spans="1:4" ht="18" customHeight="1" x14ac:dyDescent="0.25">
      <c r="A467" s="33" t="str">
        <f ca="1">IFERROR(__xludf.DUMMYFUNCTION("""COMPUTED_VALUE"""),"103. Сам.дарвоза")</f>
        <v>103. Сам.дарвоза</v>
      </c>
      <c r="B467" s="34">
        <f ca="1">IFERROR(__xludf.DUMMYFUNCTION("""COMPUTED_VALUE"""),29571)</f>
        <v>29571</v>
      </c>
      <c r="C467" s="35" t="str">
        <f ca="1">IFERROR(__xludf.DUMMYFUNCTION("""COMPUTED_VALUE"""),"NUSRATOVA MALIKA MULLOSHOYEVNA")</f>
        <v>NUSRATOVA MALIKA MULLOSHOYEVNA</v>
      </c>
      <c r="D467" s="35" t="str">
        <f ca="1">IFERROR(__xludf.DUMMYFUNCTION("""COMPUTED_VALUE"""),"Рабочий кухни (Техничка, мойка)")</f>
        <v>Рабочий кухни (Техничка, мойка)</v>
      </c>
    </row>
    <row r="468" spans="1:4" ht="18" customHeight="1" x14ac:dyDescent="0.25">
      <c r="A468" s="33" t="str">
        <f ca="1">IFERROR(__xludf.DUMMYFUNCTION("""COMPUTED_VALUE"""),"103. Сам.дарвоза")</f>
        <v>103. Сам.дарвоза</v>
      </c>
      <c r="B468" s="34">
        <f ca="1">IFERROR(__xludf.DUMMYFUNCTION("""COMPUTED_VALUE"""),33148)</f>
        <v>33148</v>
      </c>
      <c r="C468" s="35" t="str">
        <f ca="1">IFERROR(__xludf.DUMMYFUNCTION("""COMPUTED_VALUE"""),"XOLBOYEVA DILRABO RASULOVNA")</f>
        <v>XOLBOYEVA DILRABO RASULOVNA</v>
      </c>
      <c r="D468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469" spans="1:4" ht="18" customHeight="1" x14ac:dyDescent="0.25">
      <c r="A469" s="33" t="str">
        <f ca="1">IFERROR(__xludf.DUMMYFUNCTION("""COMPUTED_VALUE"""),"103. Сам.дарвоза")</f>
        <v>103. Сам.дарвоза</v>
      </c>
      <c r="B469" s="34">
        <f ca="1">IFERROR(__xludf.DUMMYFUNCTION("""COMPUTED_VALUE"""),39201)</f>
        <v>39201</v>
      </c>
      <c r="C469" s="35" t="str">
        <f ca="1">IFERROR(__xludf.DUMMYFUNCTION("""COMPUTED_VALUE"""),"SOLIDJANOV ABDULAZIZ ZUXRIDDIN O'G'LI")</f>
        <v>SOLIDJANOV ABDULAZIZ ZUXRIDDIN O'G'LI</v>
      </c>
      <c r="D469" s="35" t="str">
        <f ca="1">IFERROR(__xludf.DUMMYFUNCTION("""COMPUTED_VALUE"""),"Стажер повар WOK")</f>
        <v>Стажер повар WOK</v>
      </c>
    </row>
    <row r="470" spans="1:4" ht="18" customHeight="1" x14ac:dyDescent="0.25">
      <c r="A470" s="33" t="str">
        <f ca="1">IFERROR(__xludf.DUMMYFUNCTION("""COMPUTED_VALUE"""),"103. Сам.дарвоза")</f>
        <v>103. Сам.дарвоза</v>
      </c>
      <c r="B470" s="34">
        <f ca="1">IFERROR(__xludf.DUMMYFUNCTION("""COMPUTED_VALUE"""),39077)</f>
        <v>39077</v>
      </c>
      <c r="C470" s="35" t="str">
        <f ca="1">IFERROR(__xludf.DUMMYFUNCTION("""COMPUTED_VALUE"""),"ESHPO'LATOV ALISHER AKBAR O'G'LI")</f>
        <v>ESHPO'LATOV ALISHER AKBAR O'G'LI</v>
      </c>
      <c r="D470" s="35" t="str">
        <f ca="1">IFERROR(__xludf.DUMMYFUNCTION("""COMPUTED_VALUE"""),"Стажер повар WOK")</f>
        <v>Стажер повар WOK</v>
      </c>
    </row>
    <row r="471" spans="1:4" ht="18" customHeight="1" x14ac:dyDescent="0.25">
      <c r="A471" s="33" t="str">
        <f ca="1">IFERROR(__xludf.DUMMYFUNCTION("""COMPUTED_VALUE"""),"103. Сам.дарвоза")</f>
        <v>103. Сам.дарвоза</v>
      </c>
      <c r="B471" s="34">
        <f ca="1">IFERROR(__xludf.DUMMYFUNCTION("""COMPUTED_VALUE"""),38966)</f>
        <v>38966</v>
      </c>
      <c r="C471" s="35" t="str">
        <f ca="1">IFERROR(__xludf.DUMMYFUNCTION("""COMPUTED_VALUE"""),"SAIDOVA CHAROS DILMUROD QIZI")</f>
        <v>SAIDOVA CHAROS DILMUROD QIZI</v>
      </c>
      <c r="D471" s="35" t="str">
        <f ca="1">IFERROR(__xludf.DUMMYFUNCTION("""COMPUTED_VALUE"""),"Стажер кассир")</f>
        <v>Стажер кассир</v>
      </c>
    </row>
    <row r="472" spans="1:4" ht="18" customHeight="1" x14ac:dyDescent="0.25">
      <c r="A472" s="33" t="str">
        <f ca="1">IFERROR(__xludf.DUMMYFUNCTION("""COMPUTED_VALUE"""),"103. Сам.дарвоза")</f>
        <v>103. Сам.дарвоза</v>
      </c>
      <c r="B472" s="34">
        <f ca="1">IFERROR(__xludf.DUMMYFUNCTION("""COMPUTED_VALUE"""),39236)</f>
        <v>39236</v>
      </c>
      <c r="C472" s="35" t="str">
        <f ca="1">IFERROR(__xludf.DUMMYFUNCTION("""COMPUTED_VALUE"""),"TOSHMATOVA DURDONA ALIMARDON QIZI")</f>
        <v>TOSHMATOVA DURDONA ALIMARDON QIZI</v>
      </c>
      <c r="D472" s="35" t="str">
        <f ca="1">IFERROR(__xludf.DUMMYFUNCTION("""COMPUTED_VALUE"""),"Кассир")</f>
        <v>Кассир</v>
      </c>
    </row>
    <row r="473" spans="1:4" ht="18" customHeight="1" x14ac:dyDescent="0.25">
      <c r="A473" s="33" t="str">
        <f ca="1">IFERROR(__xludf.DUMMYFUNCTION("""COMPUTED_VALUE"""),"103. Сам.дарвоза")</f>
        <v>103. Сам.дарвоза</v>
      </c>
      <c r="B473" s="34">
        <f ca="1">IFERROR(__xludf.DUMMYFUNCTION("""COMPUTED_VALUE"""),39213)</f>
        <v>39213</v>
      </c>
      <c r="C473" s="35" t="str">
        <f ca="1">IFERROR(__xludf.DUMMYFUNCTION("""COMPUTED_VALUE"""),"TOSHPULATOV IBROHIM MUXLIS O'G'LI")</f>
        <v>TOSHPULATOV IBROHIM MUXLIS O'G'LI</v>
      </c>
      <c r="D473" s="35" t="str">
        <f ca="1">IFERROR(__xludf.DUMMYFUNCTION("""COMPUTED_VALUE"""),"Младший пиццерист")</f>
        <v>Младший пиццерист</v>
      </c>
    </row>
    <row r="474" spans="1:4" ht="18" customHeight="1" x14ac:dyDescent="0.25">
      <c r="A474" s="33" t="str">
        <f ca="1">IFERROR(__xludf.DUMMYFUNCTION("""COMPUTED_VALUE"""),"103. Сам.дарвоза")</f>
        <v>103. Сам.дарвоза</v>
      </c>
      <c r="B474" s="34">
        <f ca="1">IFERROR(__xludf.DUMMYFUNCTION("""COMPUTED_VALUE"""),38106)</f>
        <v>38106</v>
      </c>
      <c r="C474" s="35" t="str">
        <f ca="1">IFERROR(__xludf.DUMMYFUNCTION("""COMPUTED_VALUE"""),"ZOITJONOVA OZODA RUSTAM QIZI")</f>
        <v>ZOITJONOVA OZODA RUSTAM QIZI</v>
      </c>
      <c r="D474" s="35" t="str">
        <f ca="1">IFERROR(__xludf.DUMMYFUNCTION("""COMPUTED_VALUE"""),"Младший пиццерист")</f>
        <v>Младший пиццерист</v>
      </c>
    </row>
    <row r="475" spans="1:4" ht="18" customHeight="1" x14ac:dyDescent="0.25">
      <c r="A475" s="33" t="str">
        <f ca="1">IFERROR(__xludf.DUMMYFUNCTION("""COMPUTED_VALUE"""),"103. Сам.дарвоза")</f>
        <v>103. Сам.дарвоза</v>
      </c>
      <c r="B475" s="34">
        <f ca="1">IFERROR(__xludf.DUMMYFUNCTION("""COMPUTED_VALUE"""),39256)</f>
        <v>39256</v>
      </c>
      <c r="C475" s="35" t="str">
        <f ca="1">IFERROR(__xludf.DUMMYFUNCTION("""COMPUTED_VALUE"""),"XUDOYBERDIYEV LUTFULLO XAYRULLO O'G'LI")</f>
        <v>XUDOYBERDIYEV LUTFULLO XAYRULLO O'G'LI</v>
      </c>
      <c r="D475" s="35" t="str">
        <f ca="1">IFERROR(__xludf.DUMMYFUNCTION("""COMPUTED_VALUE"""),"Стажер повар WOK")</f>
        <v>Стажер повар WOK</v>
      </c>
    </row>
    <row r="476" spans="1:4" ht="18" customHeight="1" x14ac:dyDescent="0.25">
      <c r="A476" s="33" t="str">
        <f ca="1">IFERROR(__xludf.DUMMYFUNCTION("""COMPUTED_VALUE"""),"103. Сам.дарвоза")</f>
        <v>103. Сам.дарвоза</v>
      </c>
      <c r="B476" s="34">
        <f ca="1">IFERROR(__xludf.DUMMYFUNCTION("""COMPUTED_VALUE"""),37975)</f>
        <v>37975</v>
      </c>
      <c r="C476" s="35" t="str">
        <f ca="1">IFERROR(__xludf.DUMMYFUNCTION("""COMPUTED_VALUE"""),"HOSHIMQULOV SUXROB NASIM O'G'LI")</f>
        <v>HOSHIMQULOV SUXROB NASIM O'G'LI</v>
      </c>
      <c r="D476" s="35" t="str">
        <f ca="1">IFERROR(__xludf.DUMMYFUNCTION("""COMPUTED_VALUE"""),"Стажер повар WOK")</f>
        <v>Стажер повар WOK</v>
      </c>
    </row>
    <row r="477" spans="1:4" ht="18" customHeight="1" x14ac:dyDescent="0.25">
      <c r="A477" s="33" t="str">
        <f ca="1">IFERROR(__xludf.DUMMYFUNCTION("""COMPUTED_VALUE"""),"103. Сам.дарвоза")</f>
        <v>103. Сам.дарвоза</v>
      </c>
      <c r="B477" s="34">
        <f ca="1">IFERROR(__xludf.DUMMYFUNCTION("""COMPUTED_VALUE"""),39324)</f>
        <v>39324</v>
      </c>
      <c r="C477" s="35" t="str">
        <f ca="1">IFERROR(__xludf.DUMMYFUNCTION("""COMPUTED_VALUE"""),"TOSHXO'JAYEV ASADBEK BEGZOD O'G'LI")</f>
        <v>TOSHXO'JAYEV ASADBEK BEGZOD O'G'LI</v>
      </c>
      <c r="D477" s="35" t="str">
        <f ca="1">IFERROR(__xludf.DUMMYFUNCTION("""COMPUTED_VALUE"""),"Стажер повар WOK")</f>
        <v>Стажер повар WOK</v>
      </c>
    </row>
    <row r="478" spans="1:4" ht="18" customHeight="1" x14ac:dyDescent="0.25">
      <c r="A478" s="33" t="str">
        <f ca="1">IFERROR(__xludf.DUMMYFUNCTION("""COMPUTED_VALUE"""),"102. Ц1 WOK")</f>
        <v>102. Ц1 WOK</v>
      </c>
      <c r="B478" s="34">
        <f ca="1">IFERROR(__xludf.DUMMYFUNCTION("""COMPUTED_VALUE"""),34317)</f>
        <v>34317</v>
      </c>
      <c r="C478" s="35" t="str">
        <f ca="1">IFERROR(__xludf.DUMMYFUNCTION("""COMPUTED_VALUE"""),"ERGASHOV ZOXIDJON ZOKIR O'G'LI")</f>
        <v>ERGASHOV ZOXIDJON ZOKIR O'G'LI</v>
      </c>
      <c r="D478" s="35" t="str">
        <f ca="1">IFERROR(__xludf.DUMMYFUNCTION("""COMPUTED_VALUE"""),"Управляющий")</f>
        <v>Управляющий</v>
      </c>
    </row>
    <row r="479" spans="1:4" ht="18" customHeight="1" x14ac:dyDescent="0.25">
      <c r="A479" s="33" t="str">
        <f ca="1">IFERROR(__xludf.DUMMYFUNCTION("""COMPUTED_VALUE"""),"102. Ц1 WOK")</f>
        <v>102. Ц1 WOK</v>
      </c>
      <c r="B479" s="34">
        <f ca="1">IFERROR(__xludf.DUMMYFUNCTION("""COMPUTED_VALUE"""),37519)</f>
        <v>37519</v>
      </c>
      <c r="C479" s="35" t="str">
        <f ca="1">IFERROR(__xludf.DUMMYFUNCTION("""COMPUTED_VALUE"""),"XOLMURODOV ALISHER FAZLITDIN O'G'LI")</f>
        <v>XOLMURODOV ALISHER FAZLITDIN O'G'LI</v>
      </c>
      <c r="D479" s="35" t="str">
        <f ca="1">IFERROR(__xludf.DUMMYFUNCTION("""COMPUTED_VALUE"""),"Сменный менеджер")</f>
        <v>Сменный менеджер</v>
      </c>
    </row>
    <row r="480" spans="1:4" ht="18" customHeight="1" x14ac:dyDescent="0.25">
      <c r="A480" s="33" t="str">
        <f ca="1">IFERROR(__xludf.DUMMYFUNCTION("""COMPUTED_VALUE"""),"102. Ц1 WOK")</f>
        <v>102. Ц1 WOK</v>
      </c>
      <c r="B480" s="34">
        <f ca="1">IFERROR(__xludf.DUMMYFUNCTION("""COMPUTED_VALUE"""),36395)</f>
        <v>36395</v>
      </c>
      <c r="C480" s="35" t="str">
        <f ca="1">IFERROR(__xludf.DUMMYFUNCTION("""COMPUTED_VALUE"""),"ISTAMOV SHOHJAHON SULTONOVICH")</f>
        <v>ISTAMOV SHOHJAHON SULTONOVICH</v>
      </c>
      <c r="D480" s="35" t="str">
        <f ca="1">IFERROR(__xludf.DUMMYFUNCTION("""COMPUTED_VALUE"""),"Сменный менеджер")</f>
        <v>Сменный менеджер</v>
      </c>
    </row>
    <row r="481" spans="1:4" ht="18" customHeight="1" x14ac:dyDescent="0.25">
      <c r="A481" s="33" t="str">
        <f ca="1">IFERROR(__xludf.DUMMYFUNCTION("""COMPUTED_VALUE"""),"102. Ц1 WOK")</f>
        <v>102. Ц1 WOK</v>
      </c>
      <c r="B481" s="34">
        <f ca="1">IFERROR(__xludf.DUMMYFUNCTION("""COMPUTED_VALUE"""),35652)</f>
        <v>35652</v>
      </c>
      <c r="C481" s="35" t="str">
        <f ca="1">IFERROR(__xludf.DUMMYFUNCTION("""COMPUTED_VALUE"""),"ERGASHEV AKRAM NORIGIT UG'LI")</f>
        <v>ERGASHEV AKRAM NORIGIT UG'LI</v>
      </c>
      <c r="D481" s="35" t="str">
        <f ca="1">IFERROR(__xludf.DUMMYFUNCTION("""COMPUTED_VALUE"""),"Сушист")</f>
        <v>Сушист</v>
      </c>
    </row>
    <row r="482" spans="1:4" ht="18" customHeight="1" x14ac:dyDescent="0.25">
      <c r="A482" s="33" t="str">
        <f ca="1">IFERROR(__xludf.DUMMYFUNCTION("""COMPUTED_VALUE"""),"102. Ц1 WOK")</f>
        <v>102. Ц1 WOK</v>
      </c>
      <c r="B482" s="34">
        <f ca="1">IFERROR(__xludf.DUMMYFUNCTION("""COMPUTED_VALUE"""),45988)</f>
        <v>45988</v>
      </c>
      <c r="C482" s="35" t="str">
        <f ca="1">IFERROR(__xludf.DUMMYFUNCTION("""COMPUTED_VALUE"""),"SAMIQOV DOSTONBEK XAKIMJON O'G'LI")</f>
        <v>SAMIQOV DOSTONBEK XAKIMJON O'G'LI</v>
      </c>
      <c r="D482" s="35" t="str">
        <f ca="1">IFERROR(__xludf.DUMMYFUNCTION("""COMPUTED_VALUE"""),"Сушист")</f>
        <v>Сушист</v>
      </c>
    </row>
    <row r="483" spans="1:4" ht="18" customHeight="1" x14ac:dyDescent="0.25">
      <c r="A483" s="33" t="str">
        <f ca="1">IFERROR(__xludf.DUMMYFUNCTION("""COMPUTED_VALUE"""),"102. Ц1 WOK")</f>
        <v>102. Ц1 WOK</v>
      </c>
      <c r="B483" s="34">
        <f ca="1">IFERROR(__xludf.DUMMYFUNCTION("""COMPUTED_VALUE"""),36675)</f>
        <v>36675</v>
      </c>
      <c r="C483" s="35" t="str">
        <f ca="1">IFERROR(__xludf.DUMMYFUNCTION("""COMPUTED_VALUE"""),"ALLABERDIYEV FAXRIDDIN TO'RAQUL O'G'LI")</f>
        <v>ALLABERDIYEV FAXRIDDIN TO'RAQUL O'G'LI</v>
      </c>
      <c r="D483" s="35" t="str">
        <f ca="1">IFERROR(__xludf.DUMMYFUNCTION("""COMPUTED_VALUE"""),"Сушист")</f>
        <v>Сушист</v>
      </c>
    </row>
    <row r="484" spans="1:4" ht="18" customHeight="1" x14ac:dyDescent="0.25">
      <c r="A484" s="33" t="str">
        <f ca="1">IFERROR(__xludf.DUMMYFUNCTION("""COMPUTED_VALUE"""),"102. Ц1 WOK")</f>
        <v>102. Ц1 WOK</v>
      </c>
      <c r="B484" s="34">
        <f ca="1">IFERROR(__xludf.DUMMYFUNCTION("""COMPUTED_VALUE"""),37967)</f>
        <v>37967</v>
      </c>
      <c r="C484" s="35" t="str">
        <f ca="1">IFERROR(__xludf.DUMMYFUNCTION("""COMPUTED_VALUE"""),"HIKMATOV SHOHRUX ABDUG'AYRAT O'G'LI")</f>
        <v>HIKMATOV SHOHRUX ABDUG'AYRAT O'G'LI</v>
      </c>
      <c r="D484" s="35" t="str">
        <f ca="1">IFERROR(__xludf.DUMMYFUNCTION("""COMPUTED_VALUE"""),"Лидер производства WOK")</f>
        <v>Лидер производства WOK</v>
      </c>
    </row>
    <row r="485" spans="1:4" ht="18" customHeight="1" x14ac:dyDescent="0.25">
      <c r="A485" s="33" t="str">
        <f ca="1">IFERROR(__xludf.DUMMYFUNCTION("""COMPUTED_VALUE"""),"102. Ц1 WOK")</f>
        <v>102. Ц1 WOK</v>
      </c>
      <c r="B485" s="34">
        <f ca="1">IFERROR(__xludf.DUMMYFUNCTION("""COMPUTED_VALUE"""),37868)</f>
        <v>37868</v>
      </c>
      <c r="C485" s="35" t="str">
        <f ca="1">IFERROR(__xludf.DUMMYFUNCTION("""COMPUTED_VALUE"""),"SOBIROV DIYORBEK OLIMJON O'G'LI")</f>
        <v>SOBIROV DIYORBEK OLIMJON O'G'LI</v>
      </c>
      <c r="D485" s="35" t="str">
        <f ca="1">IFERROR(__xludf.DUMMYFUNCTION("""COMPUTED_VALUE"""),"Лидер производства WOK")</f>
        <v>Лидер производства WOK</v>
      </c>
    </row>
    <row r="486" spans="1:4" ht="18" customHeight="1" x14ac:dyDescent="0.25">
      <c r="A486" s="33" t="str">
        <f ca="1">IFERROR(__xludf.DUMMYFUNCTION("""COMPUTED_VALUE"""),"102. Ц1 WOK")</f>
        <v>102. Ц1 WOK</v>
      </c>
      <c r="B486" s="34">
        <f ca="1">IFERROR(__xludf.DUMMYFUNCTION("""COMPUTED_VALUE"""),37959)</f>
        <v>37959</v>
      </c>
      <c r="C486" s="35" t="str">
        <f ca="1">IFERROR(__xludf.DUMMYFUNCTION("""COMPUTED_VALUE"""),"ISROYILJONOV AZIZBEK G'ULOMJON O'G'LI")</f>
        <v>ISROYILJONOV AZIZBEK G'ULOMJON O'G'LI</v>
      </c>
      <c r="D486" s="35" t="str">
        <f ca="1">IFERROR(__xludf.DUMMYFUNCTION("""COMPUTED_VALUE"""),"Старший официант")</f>
        <v>Старший официант</v>
      </c>
    </row>
    <row r="487" spans="1:4" ht="18" customHeight="1" x14ac:dyDescent="0.25">
      <c r="A487" s="33" t="str">
        <f ca="1">IFERROR(__xludf.DUMMYFUNCTION("""COMPUTED_VALUE"""),"102. Ц1 WOK")</f>
        <v>102. Ц1 WOK</v>
      </c>
      <c r="B487" s="34">
        <f ca="1">IFERROR(__xludf.DUMMYFUNCTION("""COMPUTED_VALUE"""),26417)</f>
        <v>26417</v>
      </c>
      <c r="C487" s="35" t="str">
        <f ca="1">IFERROR(__xludf.DUMMYFUNCTION("""COMPUTED_VALUE"""),"QOBILOVA SAIDA BAXODIROVNA")</f>
        <v>QOBILOVA SAIDA BAXODIROVNA</v>
      </c>
      <c r="D487" s="35" t="str">
        <f ca="1">IFERROR(__xludf.DUMMYFUNCTION("""COMPUTED_VALUE"""),"Старший рабочий кухни (Техничка, мойка)")</f>
        <v>Старший рабочий кухни (Техничка, мойка)</v>
      </c>
    </row>
    <row r="488" spans="1:4" ht="18" customHeight="1" x14ac:dyDescent="0.25">
      <c r="A488" s="33" t="str">
        <f ca="1">IFERROR(__xludf.DUMMYFUNCTION("""COMPUTED_VALUE"""),"102. Ц1 WOK")</f>
        <v>102. Ц1 WOK</v>
      </c>
      <c r="B488" s="34">
        <f ca="1">IFERROR(__xludf.DUMMYFUNCTION("""COMPUTED_VALUE"""),39168)</f>
        <v>39168</v>
      </c>
      <c r="C488" s="35" t="str">
        <f ca="1">IFERROR(__xludf.DUMMYFUNCTION("""COMPUTED_VALUE"""),"KODIROVA DIYORA NODIR QIZI")</f>
        <v>KODIROVA DIYORA NODIR QIZI</v>
      </c>
      <c r="D488" s="35" t="str">
        <f ca="1">IFERROR(__xludf.DUMMYFUNCTION("""COMPUTED_VALUE"""),"Универсальный сотрудник Front line")</f>
        <v>Универсальный сотрудник Front line</v>
      </c>
    </row>
    <row r="489" spans="1:4" ht="18" customHeight="1" x14ac:dyDescent="0.25">
      <c r="A489" s="33" t="str">
        <f ca="1">IFERROR(__xludf.DUMMYFUNCTION("""COMPUTED_VALUE"""),"102. Ц1 WOK")</f>
        <v>102. Ц1 WOK</v>
      </c>
      <c r="B489" s="34">
        <f ca="1">IFERROR(__xludf.DUMMYFUNCTION("""COMPUTED_VALUE"""),38218)</f>
        <v>38218</v>
      </c>
      <c r="C489" s="35" t="str">
        <f ca="1">IFERROR(__xludf.DUMMYFUNCTION("""COMPUTED_VALUE"""),"URAZIMBETOV NURSULTAN MUXAMMEDKARIM ULI")</f>
        <v>URAZIMBETOV NURSULTAN MUXAMMEDKARIM ULI</v>
      </c>
      <c r="D489" s="35" t="str">
        <f ca="1">IFERROR(__xludf.DUMMYFUNCTION("""COMPUTED_VALUE"""),"Универсальный сотрудник Front line")</f>
        <v>Универсальный сотрудник Front line</v>
      </c>
    </row>
    <row r="490" spans="1:4" ht="18" customHeight="1" x14ac:dyDescent="0.25">
      <c r="A490" s="33" t="str">
        <f ca="1">IFERROR(__xludf.DUMMYFUNCTION("""COMPUTED_VALUE"""),"102. Ц1 WOK")</f>
        <v>102. Ц1 WOK</v>
      </c>
      <c r="B490" s="34">
        <f ca="1">IFERROR(__xludf.DUMMYFUNCTION("""COMPUTED_VALUE"""),38780)</f>
        <v>38780</v>
      </c>
      <c r="C490" s="35" t="str">
        <f ca="1">IFERROR(__xludf.DUMMYFUNCTION("""COMPUTED_VALUE"""),"KALANDAROV IZZAT IKRAMOVICH")</f>
        <v>KALANDAROV IZZAT IKRAMOVICH</v>
      </c>
      <c r="D490" s="35" t="str">
        <f ca="1">IFERROR(__xludf.DUMMYFUNCTION("""COMPUTED_VALUE"""),"Лидер обслуживания")</f>
        <v>Лидер обслуживания</v>
      </c>
    </row>
    <row r="491" spans="1:4" ht="18" customHeight="1" x14ac:dyDescent="0.25">
      <c r="A491" s="33" t="str">
        <f ca="1">IFERROR(__xludf.DUMMYFUNCTION("""COMPUTED_VALUE"""),"102. Ц1 WOK")</f>
        <v>102. Ц1 WOK</v>
      </c>
      <c r="B491" s="34">
        <f ca="1">IFERROR(__xludf.DUMMYFUNCTION("""COMPUTED_VALUE"""),39098)</f>
        <v>39098</v>
      </c>
      <c r="C491" s="35" t="str">
        <f ca="1">IFERROR(__xludf.DUMMYFUNCTION("""COMPUTED_VALUE"""),"ABDULXAYEV BEXRUZ BAXROM O'G'LI")</f>
        <v>ABDULXAYEV BEXRUZ BAXROM O'G'LI</v>
      </c>
      <c r="D491" s="35" t="str">
        <f ca="1">IFERROR(__xludf.DUMMYFUNCTION("""COMPUTED_VALUE"""),"Универсальный повар WOK")</f>
        <v>Универсальный повар WOK</v>
      </c>
    </row>
    <row r="492" spans="1:4" ht="18" customHeight="1" x14ac:dyDescent="0.25">
      <c r="A492" s="33" t="str">
        <f ca="1">IFERROR(__xludf.DUMMYFUNCTION("""COMPUTED_VALUE"""),"102. Ц1 WOK")</f>
        <v>102. Ц1 WOK</v>
      </c>
      <c r="B492" s="34">
        <f ca="1">IFERROR(__xludf.DUMMYFUNCTION("""COMPUTED_VALUE"""),39197)</f>
        <v>39197</v>
      </c>
      <c r="C492" s="35" t="str">
        <f ca="1">IFERROR(__xludf.DUMMYFUNCTION("""COMPUTED_VALUE"""),"MAKSUDOVA MASTURA SARVAR QIZI")</f>
        <v>MAKSUDOVA MASTURA SARVAR QIZI</v>
      </c>
      <c r="D492" s="35" t="str">
        <f ca="1">IFERROR(__xludf.DUMMYFUNCTION("""COMPUTED_VALUE"""),"Лидер обслуживания")</f>
        <v>Лидер обслуживания</v>
      </c>
    </row>
    <row r="493" spans="1:4" ht="18" customHeight="1" x14ac:dyDescent="0.25">
      <c r="A493" s="33" t="str">
        <f ca="1">IFERROR(__xludf.DUMMYFUNCTION("""COMPUTED_VALUE"""),"102. Ц1 WOK")</f>
        <v>102. Ц1 WOK</v>
      </c>
      <c r="B493" s="34">
        <f ca="1">IFERROR(__xludf.DUMMYFUNCTION("""COMPUTED_VALUE"""),37267)</f>
        <v>37267</v>
      </c>
      <c r="C493" s="35" t="str">
        <f ca="1">IFERROR(__xludf.DUMMYFUNCTION("""COMPUTED_VALUE"""),"SULAYMONOV XUDOYOR OTABEK O'G'LI")</f>
        <v>SULAYMONOV XUDOYOR OTABEK O'G'LI</v>
      </c>
      <c r="D493" s="35" t="str">
        <f ca="1">IFERROR(__xludf.DUMMYFUNCTION("""COMPUTED_VALUE"""),"Лидер производства WOK")</f>
        <v>Лидер производства WOK</v>
      </c>
    </row>
    <row r="494" spans="1:4" ht="18" customHeight="1" x14ac:dyDescent="0.25">
      <c r="A494" s="33" t="str">
        <f ca="1">IFERROR(__xludf.DUMMYFUNCTION("""COMPUTED_VALUE"""),"102. Ц1 WOK")</f>
        <v>102. Ц1 WOK</v>
      </c>
      <c r="B494" s="34">
        <f ca="1">IFERROR(__xludf.DUMMYFUNCTION("""COMPUTED_VALUE"""),38643)</f>
        <v>38643</v>
      </c>
      <c r="C494" s="35" t="str">
        <f ca="1">IFERROR(__xludf.DUMMYFUNCTION("""COMPUTED_VALUE"""),"OBIDOV XOJIAKBAR AXRORJON O'G'LI")</f>
        <v>OBIDOV XOJIAKBAR AXRORJON O'G'LI</v>
      </c>
      <c r="D494" s="35" t="str">
        <f ca="1">IFERROR(__xludf.DUMMYFUNCTION("""COMPUTED_VALUE"""),"Универсальный повар WOK")</f>
        <v>Универсальный повар WOK</v>
      </c>
    </row>
    <row r="495" spans="1:4" ht="18" customHeight="1" x14ac:dyDescent="0.25">
      <c r="A495" s="33" t="str">
        <f ca="1">IFERROR(__xludf.DUMMYFUNCTION("""COMPUTED_VALUE"""),"102. Ц1 WOK")</f>
        <v>102. Ц1 WOK</v>
      </c>
      <c r="B495" s="34">
        <f ca="1">IFERROR(__xludf.DUMMYFUNCTION("""COMPUTED_VALUE"""),38037)</f>
        <v>38037</v>
      </c>
      <c r="C495" s="35" t="str">
        <f ca="1">IFERROR(__xludf.DUMMYFUNCTION("""COMPUTED_VALUE"""),"QADAMOV UMIDBEK OLLOYOR O'G'LI")</f>
        <v>QADAMOV UMIDBEK OLLOYOR O'G'LI</v>
      </c>
      <c r="D495" s="35" t="str">
        <f ca="1">IFERROR(__xludf.DUMMYFUNCTION("""COMPUTED_VALUE"""),"Универсальный повар WOK")</f>
        <v>Универсальный повар WOK</v>
      </c>
    </row>
    <row r="496" spans="1:4" ht="18" customHeight="1" x14ac:dyDescent="0.25">
      <c r="A496" s="33" t="str">
        <f ca="1">IFERROR(__xludf.DUMMYFUNCTION("""COMPUTED_VALUE"""),"102. Ц1 WOK")</f>
        <v>102. Ц1 WOK</v>
      </c>
      <c r="B496" s="34">
        <f ca="1">IFERROR(__xludf.DUMMYFUNCTION("""COMPUTED_VALUE"""),38670)</f>
        <v>38670</v>
      </c>
      <c r="C496" s="35" t="str">
        <f ca="1">IFERROR(__xludf.DUMMYFUNCTION("""COMPUTED_VALUE"""),"TAJIEV AKBARBEK XUDAYBERDI O'G'LI")</f>
        <v>TAJIEV AKBARBEK XUDAYBERDI O'G'LI</v>
      </c>
      <c r="D496" s="35" t="str">
        <f ca="1">IFERROR(__xludf.DUMMYFUNCTION("""COMPUTED_VALUE"""),"Универсальный повар WOK")</f>
        <v>Универсальный повар WOK</v>
      </c>
    </row>
    <row r="497" spans="1:4" ht="18" customHeight="1" x14ac:dyDescent="0.25">
      <c r="A497" s="33" t="str">
        <f ca="1">IFERROR(__xludf.DUMMYFUNCTION("""COMPUTED_VALUE"""),"102. Ц1 WOK")</f>
        <v>102. Ц1 WOK</v>
      </c>
      <c r="B497" s="34">
        <f ca="1">IFERROR(__xludf.DUMMYFUNCTION("""COMPUTED_VALUE"""),39062)</f>
        <v>39062</v>
      </c>
      <c r="C497" s="35" t="str">
        <f ca="1">IFERROR(__xludf.DUMMYFUNCTION("""COMPUTED_VALUE"""),"LUTFULLAYEV TIMUR TOHIR O'G'LI")</f>
        <v>LUTFULLAYEV TIMUR TOHIR O'G'LI</v>
      </c>
      <c r="D497" s="35" t="str">
        <f ca="1">IFERROR(__xludf.DUMMYFUNCTION("""COMPUTED_VALUE"""),"Старший официант")</f>
        <v>Старший официант</v>
      </c>
    </row>
    <row r="498" spans="1:4" ht="18" customHeight="1" x14ac:dyDescent="0.25">
      <c r="A498" s="33" t="str">
        <f ca="1">IFERROR(__xludf.DUMMYFUNCTION("""COMPUTED_VALUE"""),"102. Ц1 WOK")</f>
        <v>102. Ц1 WOK</v>
      </c>
      <c r="B498" s="34">
        <f ca="1">IFERROR(__xludf.DUMMYFUNCTION("""COMPUTED_VALUE"""),28561)</f>
        <v>28561</v>
      </c>
      <c r="C498" s="35" t="str">
        <f ca="1">IFERROR(__xludf.DUMMYFUNCTION("""COMPUTED_VALUE"""),"OMANKULOVA MATLUBA ABDUSALOMOVNA")</f>
        <v>OMANKULOVA MATLUBA ABDUSALOMOVNA</v>
      </c>
      <c r="D498" s="35" t="str">
        <f ca="1">IFERROR(__xludf.DUMMYFUNCTION("""COMPUTED_VALUE"""),"Старший повар Wok")</f>
        <v>Старший повар Wok</v>
      </c>
    </row>
    <row r="499" spans="1:4" ht="18" customHeight="1" x14ac:dyDescent="0.25">
      <c r="A499" s="33" t="str">
        <f ca="1">IFERROR(__xludf.DUMMYFUNCTION("""COMPUTED_VALUE"""),"102. Ц1 WOK")</f>
        <v>102. Ц1 WOK</v>
      </c>
      <c r="B499" s="34">
        <f ca="1">IFERROR(__xludf.DUMMYFUNCTION("""COMPUTED_VALUE"""),39316)</f>
        <v>39316</v>
      </c>
      <c r="C499" s="35" t="str">
        <f ca="1">IFERROR(__xludf.DUMMYFUNCTION("""COMPUTED_VALUE"""),"ERGASHEV SARDORBEK ODILJON O'G'LI")</f>
        <v>ERGASHEV SARDORBEK ODILJON O'G'LI</v>
      </c>
      <c r="D499" s="35" t="str">
        <f ca="1">IFERROR(__xludf.DUMMYFUNCTION("""COMPUTED_VALUE"""),"Универсальный сотрудник Front line")</f>
        <v>Универсальный сотрудник Front line</v>
      </c>
    </row>
    <row r="500" spans="1:4" ht="18" customHeight="1" x14ac:dyDescent="0.25">
      <c r="A500" s="33" t="str">
        <f ca="1">IFERROR(__xludf.DUMMYFUNCTION("""COMPUTED_VALUE"""),"102. Ц1 WOK")</f>
        <v>102. Ц1 WOK</v>
      </c>
      <c r="B500" s="34">
        <f ca="1">IFERROR(__xludf.DUMMYFUNCTION("""COMPUTED_VALUE"""),38878)</f>
        <v>38878</v>
      </c>
      <c r="C500" s="35" t="str">
        <f ca="1">IFERROR(__xludf.DUMMYFUNCTION("""COMPUTED_VALUE"""),"IMOZOV O'KTAM BAXTIYOR O'G'LI")</f>
        <v>IMOZOV O'KTAM BAXTIYOR O'G'LI</v>
      </c>
      <c r="D500" s="35" t="str">
        <f ca="1">IFERROR(__xludf.DUMMYFUNCTION("""COMPUTED_VALUE"""),"Универсальный повар WOK")</f>
        <v>Универсальный повар WOK</v>
      </c>
    </row>
    <row r="501" spans="1:4" ht="18" customHeight="1" x14ac:dyDescent="0.25">
      <c r="A501" s="33" t="str">
        <f ca="1">IFERROR(__xludf.DUMMYFUNCTION("""COMPUTED_VALUE"""),"102. Ц1 WOK")</f>
        <v>102. Ц1 WOK</v>
      </c>
      <c r="B501" s="34">
        <f ca="1">IFERROR(__xludf.DUMMYFUNCTION("""COMPUTED_VALUE"""),35797)</f>
        <v>35797</v>
      </c>
      <c r="C501" s="35" t="str">
        <f ca="1">IFERROR(__xludf.DUMMYFUNCTION("""COMPUTED_VALUE"""),"MATCHONOVA OYSHA OLIMBOYEVNA")</f>
        <v>MATCHONOVA OYSHA OLIMBOYEVNA</v>
      </c>
      <c r="D501" s="35" t="str">
        <f ca="1">IFERROR(__xludf.DUMMYFUNCTION("""COMPUTED_VALUE"""),"Старший повар Wok")</f>
        <v>Старший повар Wok</v>
      </c>
    </row>
    <row r="502" spans="1:4" ht="18" customHeight="1" x14ac:dyDescent="0.25">
      <c r="A502" s="33" t="str">
        <f ca="1">IFERROR(__xludf.DUMMYFUNCTION("""COMPUTED_VALUE"""),"102. Ц1 WOK")</f>
        <v>102. Ц1 WOK</v>
      </c>
      <c r="B502" s="34">
        <f ca="1">IFERROR(__xludf.DUMMYFUNCTION("""COMPUTED_VALUE"""),39003)</f>
        <v>39003</v>
      </c>
      <c r="C502" s="35" t="str">
        <f ca="1">IFERROR(__xludf.DUMMYFUNCTION("""COMPUTED_VALUE"""),"RAXMONOV DILSHOD KAMOLIDDINOVICH")</f>
        <v>RAXMONOV DILSHOD KAMOLIDDINOVICH</v>
      </c>
      <c r="D502" s="35" t="str">
        <f ca="1">IFERROR(__xludf.DUMMYFUNCTION("""COMPUTED_VALUE"""),"Повар WOK")</f>
        <v>Повар WOK</v>
      </c>
    </row>
    <row r="503" spans="1:4" ht="18" customHeight="1" x14ac:dyDescent="0.25">
      <c r="A503" s="33" t="str">
        <f ca="1">IFERROR(__xludf.DUMMYFUNCTION("""COMPUTED_VALUE"""),"102. Ц1 WOK")</f>
        <v>102. Ц1 WOK</v>
      </c>
      <c r="B503" s="34">
        <f ca="1">IFERROR(__xludf.DUMMYFUNCTION("""COMPUTED_VALUE"""),37848)</f>
        <v>37848</v>
      </c>
      <c r="C503" s="35" t="str">
        <f ca="1">IFERROR(__xludf.DUMMYFUNCTION("""COMPUTED_VALUE"""),"JANQOBILOV ASLIDDIN OTABEK O'G'LI")</f>
        <v>JANQOBILOV ASLIDDIN OTABEK O'G'LI</v>
      </c>
      <c r="D503" s="35" t="str">
        <f ca="1">IFERROR(__xludf.DUMMYFUNCTION("""COMPUTED_VALUE"""),"Универсальный повар WOK")</f>
        <v>Универсальный повар WOK</v>
      </c>
    </row>
    <row r="504" spans="1:4" ht="18" customHeight="1" x14ac:dyDescent="0.25">
      <c r="A504" s="33" t="str">
        <f ca="1">IFERROR(__xludf.DUMMYFUNCTION("""COMPUTED_VALUE"""),"102. Ц1 WOK")</f>
        <v>102. Ц1 WOK</v>
      </c>
      <c r="B504" s="34">
        <f ca="1">IFERROR(__xludf.DUMMYFUNCTION("""COMPUTED_VALUE"""),39328)</f>
        <v>39328</v>
      </c>
      <c r="C504" s="35" t="str">
        <f ca="1">IFERROR(__xludf.DUMMYFUNCTION("""COMPUTED_VALUE"""),"ABDURAXMONOV BOYAZID ABDURAXMON O'G'LI")</f>
        <v>ABDURAXMONOV BOYAZID ABDURAXMON O'G'LI</v>
      </c>
      <c r="D504" s="35" t="str">
        <f ca="1">IFERROR(__xludf.DUMMYFUNCTION("""COMPUTED_VALUE"""),"Универсальный повар WOK")</f>
        <v>Универсальный повар WOK</v>
      </c>
    </row>
    <row r="505" spans="1:4" ht="18" customHeight="1" x14ac:dyDescent="0.25">
      <c r="A505" s="33" t="str">
        <f ca="1">IFERROR(__xludf.DUMMYFUNCTION("""COMPUTED_VALUE"""),"102. Ц1 WOK")</f>
        <v>102. Ц1 WOK</v>
      </c>
      <c r="B505" s="34">
        <f ca="1">IFERROR(__xludf.DUMMYFUNCTION("""COMPUTED_VALUE"""),39037)</f>
        <v>39037</v>
      </c>
      <c r="C505" s="35" t="str">
        <f ca="1">IFERROR(__xludf.DUMMYFUNCTION("""COMPUTED_VALUE"""),"ZABIXULLAYEVA ROBIYABONU DILMUROD QIZI")</f>
        <v>ZABIXULLAYEVA ROBIYABONU DILMUROD QIZI</v>
      </c>
      <c r="D505" s="35" t="str">
        <f ca="1">IFERROR(__xludf.DUMMYFUNCTION("""COMPUTED_VALUE"""),"Официант")</f>
        <v>Официант</v>
      </c>
    </row>
    <row r="506" spans="1:4" ht="18" customHeight="1" x14ac:dyDescent="0.25">
      <c r="A506" s="33" t="str">
        <f ca="1">IFERROR(__xludf.DUMMYFUNCTION("""COMPUTED_VALUE"""),"102. Ц1 WOK")</f>
        <v>102. Ц1 WOK</v>
      </c>
      <c r="B506" s="34">
        <f ca="1">IFERROR(__xludf.DUMMYFUNCTION("""COMPUTED_VALUE"""),39005)</f>
        <v>39005</v>
      </c>
      <c r="C506" s="35" t="str">
        <f ca="1">IFERROR(__xludf.DUMMYFUNCTION("""COMPUTED_VALUE"""),"ISROILJONOV TOXIRJON BOTIRJON O'G'LI")</f>
        <v>ISROILJONOV TOXIRJON BOTIRJON O'G'LI</v>
      </c>
      <c r="D506" s="35" t="str">
        <f ca="1">IFERROR(__xludf.DUMMYFUNCTION("""COMPUTED_VALUE"""),"Стажер кассир")</f>
        <v>Стажер кассир</v>
      </c>
    </row>
    <row r="507" spans="1:4" ht="18" customHeight="1" x14ac:dyDescent="0.25">
      <c r="A507" s="33" t="str">
        <f ca="1">IFERROR(__xludf.DUMMYFUNCTION("""COMPUTED_VALUE"""),"102. Ц1 WOK")</f>
        <v>102. Ц1 WOK</v>
      </c>
      <c r="B507" s="34">
        <f ca="1">IFERROR(__xludf.DUMMYFUNCTION("""COMPUTED_VALUE"""),37658)</f>
        <v>37658</v>
      </c>
      <c r="C507" s="35" t="str">
        <f ca="1">IFERROR(__xludf.DUMMYFUNCTION("""COMPUTED_VALUE"""),"ABDUQODIROV ABDURAHMON SHUHRAT O'G'LI")</f>
        <v>ABDUQODIROV ABDURAHMON SHUHRAT O'G'LI</v>
      </c>
      <c r="D507" s="35" t="str">
        <f ca="1">IFERROR(__xludf.DUMMYFUNCTION("""COMPUTED_VALUE"""),"Стажер повар WOK")</f>
        <v>Стажер повар WOK</v>
      </c>
    </row>
    <row r="508" spans="1:4" ht="18" customHeight="1" x14ac:dyDescent="0.25">
      <c r="A508" s="33" t="str">
        <f ca="1">IFERROR(__xludf.DUMMYFUNCTION("""COMPUTED_VALUE"""),"102. Ц1 WOK")</f>
        <v>102. Ц1 WOK</v>
      </c>
      <c r="B508" s="34">
        <f ca="1">IFERROR(__xludf.DUMMYFUNCTION("""COMPUTED_VALUE"""),31463)</f>
        <v>31463</v>
      </c>
      <c r="C508" s="35" t="str">
        <f ca="1">IFERROR(__xludf.DUMMYFUNCTION("""COMPUTED_VALUE"""),"SOTVOLDIYEVA DILFUZA BAXTIYOROVNA ")</f>
        <v xml:space="preserve">SOTVOLDIYEVA DILFUZA BAXTIYOROVNA </v>
      </c>
      <c r="D508" s="35" t="str">
        <f ca="1">IFERROR(__xludf.DUMMYFUNCTION("""COMPUTED_VALUE"""),"Стажер повар WOK")</f>
        <v>Стажер повар WOK</v>
      </c>
    </row>
    <row r="509" spans="1:4" ht="18" customHeight="1" x14ac:dyDescent="0.25">
      <c r="A509" s="33" t="str">
        <f ca="1">IFERROR(__xludf.DUMMYFUNCTION("""COMPUTED_VALUE"""),"102. Ц1 WOK")</f>
        <v>102. Ц1 WOK</v>
      </c>
      <c r="B509" s="34">
        <f ca="1">IFERROR(__xludf.DUMMYFUNCTION("""COMPUTED_VALUE"""),39445)</f>
        <v>39445</v>
      </c>
      <c r="C509" s="35" t="str">
        <f ca="1">IFERROR(__xludf.DUMMYFUNCTION("""COMPUTED_VALUE"""),"JALOLOV AMIRBEK AKBAR O'G'LI")</f>
        <v>JALOLOV AMIRBEK AKBAR O'G'LI</v>
      </c>
      <c r="D509" s="35" t="str">
        <f ca="1">IFERROR(__xludf.DUMMYFUNCTION("""COMPUTED_VALUE"""),"Стажер повар WOK")</f>
        <v>Стажер повар WOK</v>
      </c>
    </row>
    <row r="510" spans="1:4" ht="18" customHeight="1" x14ac:dyDescent="0.25">
      <c r="A510" s="33" t="str">
        <f ca="1">IFERROR(__xludf.DUMMYFUNCTION("""COMPUTED_VALUE"""),"102. Ц1 WOK")</f>
        <v>102. Ц1 WOK</v>
      </c>
      <c r="B510" s="34">
        <f ca="1">IFERROR(__xludf.DUMMYFUNCTION("""COMPUTED_VALUE"""),38502)</f>
        <v>38502</v>
      </c>
      <c r="C510" s="35" t="str">
        <f ca="1">IFERROR(__xludf.DUMMYFUNCTION("""COMPUTED_VALUE"""),"QODIRJANOV BUNYODBEK SANJAR O'G'LI")</f>
        <v>QODIRJANOV BUNYODBEK SANJAR O'G'LI</v>
      </c>
      <c r="D510" s="35" t="str">
        <f ca="1">IFERROR(__xludf.DUMMYFUNCTION("""COMPUTED_VALUE"""),"Стажер повар WOK")</f>
        <v>Стажер повар WOK</v>
      </c>
    </row>
    <row r="511" spans="1:4" ht="18" customHeight="1" x14ac:dyDescent="0.25">
      <c r="A511" s="33" t="str">
        <f ca="1">IFERROR(__xludf.DUMMYFUNCTION("""COMPUTED_VALUE"""),"102. Ц1 WOK")</f>
        <v>102. Ц1 WOK</v>
      </c>
      <c r="B511" s="34">
        <f ca="1">IFERROR(__xludf.DUMMYFUNCTION("""COMPUTED_VALUE"""),39107)</f>
        <v>39107</v>
      </c>
      <c r="C511" s="35" t="str">
        <f ca="1">IFERROR(__xludf.DUMMYFUNCTION("""COMPUTED_VALUE"""),"AZIMQULOV ISKANDAR XUSANOVICH")</f>
        <v>AZIMQULOV ISKANDAR XUSANOVICH</v>
      </c>
      <c r="D511" s="35" t="str">
        <f ca="1">IFERROR(__xludf.DUMMYFUNCTION("""COMPUTED_VALUE"""),"Стажер повар WOK")</f>
        <v>Стажер повар WOK</v>
      </c>
    </row>
    <row r="512" spans="1:4" ht="18" customHeight="1" x14ac:dyDescent="0.25">
      <c r="A512" s="33" t="str">
        <f ca="1">IFERROR(__xludf.DUMMYFUNCTION("""COMPUTED_VALUE"""),"101. Глинка WOK")</f>
        <v>101. Глинка WOK</v>
      </c>
      <c r="B512" s="34">
        <f ca="1">IFERROR(__xludf.DUMMYFUNCTION("""COMPUTED_VALUE"""),35848)</f>
        <v>35848</v>
      </c>
      <c r="C512" s="35" t="str">
        <f ca="1">IFERROR(__xludf.DUMMYFUNCTION("""COMPUTED_VALUE"""),"KARIMOV BOBURJON QODIRJON O'G'LI")</f>
        <v>KARIMOV BOBURJON QODIRJON O'G'LI</v>
      </c>
      <c r="D512" s="35" t="str">
        <f ca="1">IFERROR(__xludf.DUMMYFUNCTION("""COMPUTED_VALUE"""),"Управляющий")</f>
        <v>Управляющий</v>
      </c>
    </row>
    <row r="513" spans="1:4" ht="18" customHeight="1" x14ac:dyDescent="0.25">
      <c r="A513" s="33" t="str">
        <f ca="1">IFERROR(__xludf.DUMMYFUNCTION("""COMPUTED_VALUE"""),"101. Глинка WOK")</f>
        <v>101. Глинка WOK</v>
      </c>
      <c r="B513" s="34">
        <f ca="1">IFERROR(__xludf.DUMMYFUNCTION("""COMPUTED_VALUE"""),36140)</f>
        <v>36140</v>
      </c>
      <c r="C513" s="35" t="str">
        <f ca="1">IFERROR(__xludf.DUMMYFUNCTION("""COMPUTED_VALUE"""),"YAXSHILIKOV ULUG'BEK SHUHRAT O'G'LI")</f>
        <v>YAXSHILIKOV ULUG'BEK SHUHRAT O'G'LI</v>
      </c>
      <c r="D513" s="35" t="str">
        <f ca="1">IFERROR(__xludf.DUMMYFUNCTION("""COMPUTED_VALUE"""),"Сменный менеджер")</f>
        <v>Сменный менеджер</v>
      </c>
    </row>
    <row r="514" spans="1:4" ht="18" customHeight="1" x14ac:dyDescent="0.25">
      <c r="A514" s="33" t="str">
        <f ca="1">IFERROR(__xludf.DUMMYFUNCTION("""COMPUTED_VALUE"""),"101. Глинка WOK")</f>
        <v>101. Глинка WOK</v>
      </c>
      <c r="B514" s="34">
        <f ca="1">IFERROR(__xludf.DUMMYFUNCTION("""COMPUTED_VALUE"""),38660)</f>
        <v>38660</v>
      </c>
      <c r="C514" s="35" t="str">
        <f ca="1">IFERROR(__xludf.DUMMYFUNCTION("""COMPUTED_VALUE"""),"SHERMAMATOV SHAXZOD O'TKIROVICH")</f>
        <v>SHERMAMATOV SHAXZOD O'TKIROVICH</v>
      </c>
      <c r="D514" s="35" t="str">
        <f ca="1">IFERROR(__xludf.DUMMYFUNCTION("""COMPUTED_VALUE"""),"Сменный менеджер")</f>
        <v>Сменный менеджер</v>
      </c>
    </row>
    <row r="515" spans="1:4" ht="18" customHeight="1" x14ac:dyDescent="0.25">
      <c r="A515" s="33" t="str">
        <f ca="1">IFERROR(__xludf.DUMMYFUNCTION("""COMPUTED_VALUE"""),"101. Глинка WOK")</f>
        <v>101. Глинка WOK</v>
      </c>
      <c r="B515" s="34">
        <f ca="1">IFERROR(__xludf.DUMMYFUNCTION("""COMPUTED_VALUE"""),38710)</f>
        <v>38710</v>
      </c>
      <c r="C515" s="35" t="str">
        <f ca="1">IFERROR(__xludf.DUMMYFUNCTION("""COMPUTED_VALUE"""),"TURSINPULATOV DILSHOD AZAMAT O'G'LI")</f>
        <v>TURSINPULATOV DILSHOD AZAMAT O'G'LI</v>
      </c>
      <c r="D515" s="35" t="str">
        <f ca="1">IFERROR(__xludf.DUMMYFUNCTION("""COMPUTED_VALUE"""),"Лидер производства WOK")</f>
        <v>Лидер производства WOK</v>
      </c>
    </row>
    <row r="516" spans="1:4" ht="18" customHeight="1" x14ac:dyDescent="0.25">
      <c r="A516" s="33" t="str">
        <f ca="1">IFERROR(__xludf.DUMMYFUNCTION("""COMPUTED_VALUE"""),"101. Глинка WOK")</f>
        <v>101. Глинка WOK</v>
      </c>
      <c r="B516" s="34">
        <f ca="1">IFERROR(__xludf.DUMMYFUNCTION("""COMPUTED_VALUE"""),32432)</f>
        <v>32432</v>
      </c>
      <c r="C516" s="35" t="str">
        <f ca="1">IFERROR(__xludf.DUMMYFUNCTION("""COMPUTED_VALUE"""),"SADIKOV SHOHRUH XONDAMIROVICH")</f>
        <v>SADIKOV SHOHRUH XONDAMIROVICH</v>
      </c>
      <c r="D516" s="35" t="str">
        <f ca="1">IFERROR(__xludf.DUMMYFUNCTION("""COMPUTED_VALUE"""),"Лидер производства WOK")</f>
        <v>Лидер производства WOK</v>
      </c>
    </row>
    <row r="517" spans="1:4" ht="18" customHeight="1" x14ac:dyDescent="0.25">
      <c r="A517" s="33" t="str">
        <f ca="1">IFERROR(__xludf.DUMMYFUNCTION("""COMPUTED_VALUE"""),"101. Глинка WOK")</f>
        <v>101. Глинка WOK</v>
      </c>
      <c r="B517" s="34">
        <f ca="1">IFERROR(__xludf.DUMMYFUNCTION("""COMPUTED_VALUE"""),38680)</f>
        <v>38680</v>
      </c>
      <c r="C517" s="35" t="str">
        <f ca="1">IFERROR(__xludf.DUMMYFUNCTION("""COMPUTED_VALUE"""),"XOLDOROV ABDUMALIK AHADJON O'G'LI")</f>
        <v>XOLDOROV ABDUMALIK AHADJON O'G'LI</v>
      </c>
      <c r="D517" s="35" t="str">
        <f ca="1">IFERROR(__xludf.DUMMYFUNCTION("""COMPUTED_VALUE"""),"Универсальный повар WOK")</f>
        <v>Универсальный повар WOK</v>
      </c>
    </row>
    <row r="518" spans="1:4" ht="18" customHeight="1" x14ac:dyDescent="0.25">
      <c r="A518" s="33" t="str">
        <f ca="1">IFERROR(__xludf.DUMMYFUNCTION("""COMPUTED_VALUE"""),"101. Глинка WOK")</f>
        <v>101. Глинка WOK</v>
      </c>
      <c r="B518" s="34">
        <f ca="1">IFERROR(__xludf.DUMMYFUNCTION("""COMPUTED_VALUE"""),25986)</f>
        <v>25986</v>
      </c>
      <c r="C518" s="35" t="str">
        <f ca="1">IFERROR(__xludf.DUMMYFUNCTION("""COMPUTED_VALUE"""),"USKINOVA SANAMJAN ZARIPOVNA")</f>
        <v>USKINOVA SANAMJAN ZARIPOVNA</v>
      </c>
      <c r="D518" s="35" t="str">
        <f ca="1">IFERROR(__xludf.DUMMYFUNCTION("""COMPUTED_VALUE"""),"Старший рабочий кухни (Техничка, мойка)")</f>
        <v>Старший рабочий кухни (Техничка, мойка)</v>
      </c>
    </row>
    <row r="519" spans="1:4" ht="18" customHeight="1" x14ac:dyDescent="0.25">
      <c r="A519" s="33" t="str">
        <f ca="1">IFERROR(__xludf.DUMMYFUNCTION("""COMPUTED_VALUE"""),"101. Глинка WOK")</f>
        <v>101. Глинка WOK</v>
      </c>
      <c r="B519" s="34">
        <f ca="1">IFERROR(__xludf.DUMMYFUNCTION("""COMPUTED_VALUE"""),37288)</f>
        <v>37288</v>
      </c>
      <c r="C519" s="35" t="str">
        <f ca="1">IFERROR(__xludf.DUMMYFUNCTION("""COMPUTED_VALUE"""),"HABIBULLAYEV AKBARJON XAMIDULLO O'G'LI")</f>
        <v>HABIBULLAYEV AKBARJON XAMIDULLO O'G'LI</v>
      </c>
      <c r="D519" s="35" t="str">
        <f ca="1">IFERROR(__xludf.DUMMYFUNCTION("""COMPUTED_VALUE"""),"Универсальный повар WOK")</f>
        <v>Универсальный повар WOK</v>
      </c>
    </row>
    <row r="520" spans="1:4" ht="18" customHeight="1" x14ac:dyDescent="0.25">
      <c r="A520" s="33" t="str">
        <f ca="1">IFERROR(__xludf.DUMMYFUNCTION("""COMPUTED_VALUE"""),"101. Глинка WOK")</f>
        <v>101. Глинка WOK</v>
      </c>
      <c r="B520" s="34">
        <f ca="1">IFERROR(__xludf.DUMMYFUNCTION("""COMPUTED_VALUE"""),39280)</f>
        <v>39280</v>
      </c>
      <c r="C520" s="35" t="str">
        <f ca="1">IFERROR(__xludf.DUMMYFUNCTION("""COMPUTED_VALUE"""),"XASANOV AZIZBEK AVAZOVICH")</f>
        <v>XASANOV AZIZBEK AVAZOVICH</v>
      </c>
      <c r="D520" s="35" t="str">
        <f ca="1">IFERROR(__xludf.DUMMYFUNCTION("""COMPUTED_VALUE"""),"Универсальный повар WOK")</f>
        <v>Универсальный повар WOK</v>
      </c>
    </row>
    <row r="521" spans="1:4" ht="18" customHeight="1" x14ac:dyDescent="0.25">
      <c r="A521" s="33" t="str">
        <f ca="1">IFERROR(__xludf.DUMMYFUNCTION("""COMPUTED_VALUE"""),"101. Глинка WOK")</f>
        <v>101. Глинка WOK</v>
      </c>
      <c r="B521" s="34">
        <f ca="1">IFERROR(__xludf.DUMMYFUNCTION("""COMPUTED_VALUE"""),37758)</f>
        <v>37758</v>
      </c>
      <c r="C521" s="35" t="str">
        <f ca="1">IFERROR(__xludf.DUMMYFUNCTION("""COMPUTED_VALUE"""),"ISMANALIYEV ABDULAZIZ DAVLATALIYEVICH")</f>
        <v>ISMANALIYEV ABDULAZIZ DAVLATALIYEVICH</v>
      </c>
      <c r="D521" s="35" t="str">
        <f ca="1">IFERROR(__xludf.DUMMYFUNCTION("""COMPUTED_VALUE"""),"Универсальный повар WOK")</f>
        <v>Универсальный повар WOK</v>
      </c>
    </row>
    <row r="522" spans="1:4" ht="18" customHeight="1" x14ac:dyDescent="0.25">
      <c r="A522" s="33" t="str">
        <f ca="1">IFERROR(__xludf.DUMMYFUNCTION("""COMPUTED_VALUE"""),"101. Глинка WOK")</f>
        <v>101. Глинка WOK</v>
      </c>
      <c r="B522" s="34">
        <f ca="1">IFERROR(__xludf.DUMMYFUNCTION("""COMPUTED_VALUE"""),38863)</f>
        <v>38863</v>
      </c>
      <c r="C522" s="35" t="str">
        <f ca="1">IFERROR(__xludf.DUMMYFUNCTION("""COMPUTED_VALUE"""),"QURBONOVA JASMINA G'AYRATOVNA")</f>
        <v>QURBONOVA JASMINA G'AYRATOVNA</v>
      </c>
      <c r="D522" s="35" t="str">
        <f ca="1">IFERROR(__xludf.DUMMYFUNCTION("""COMPUTED_VALUE"""),"Универсальный сотрудник Front line")</f>
        <v>Универсальный сотрудник Front line</v>
      </c>
    </row>
    <row r="523" spans="1:4" ht="18" customHeight="1" x14ac:dyDescent="0.25">
      <c r="A523" s="33" t="str">
        <f ca="1">IFERROR(__xludf.DUMMYFUNCTION("""COMPUTED_VALUE"""),"101. Глинка WOK")</f>
        <v>101. Глинка WOK</v>
      </c>
      <c r="B523" s="34">
        <f ca="1">IFERROR(__xludf.DUMMYFUNCTION("""COMPUTED_VALUE"""),38640)</f>
        <v>38640</v>
      </c>
      <c r="C523" s="35" t="str">
        <f ca="1">IFERROR(__xludf.DUMMYFUNCTION("""COMPUTED_VALUE"""),"ABDUQAXXOROV QODIRJON TOLIBJON O'G'LI")</f>
        <v>ABDUQAXXOROV QODIRJON TOLIBJON O'G'LI</v>
      </c>
      <c r="D523" s="35" t="str">
        <f ca="1">IFERROR(__xludf.DUMMYFUNCTION("""COMPUTED_VALUE"""),"Универсальный повар WOK")</f>
        <v>Универсальный повар WOK</v>
      </c>
    </row>
    <row r="524" spans="1:4" ht="18" customHeight="1" x14ac:dyDescent="0.25">
      <c r="A524" s="33" t="str">
        <f ca="1">IFERROR(__xludf.DUMMYFUNCTION("""COMPUTED_VALUE"""),"101. Глинка WOK")</f>
        <v>101. Глинка WOK</v>
      </c>
      <c r="B524" s="34">
        <f ca="1">IFERROR(__xludf.DUMMYFUNCTION("""COMPUTED_VALUE"""),38646)</f>
        <v>38646</v>
      </c>
      <c r="C524" s="35" t="str">
        <f ca="1">IFERROR(__xludf.DUMMYFUNCTION("""COMPUTED_VALUE"""),"YULDOSHOV DILSHODBEK ORTIQ O'G'LI")</f>
        <v>YULDOSHOV DILSHODBEK ORTIQ O'G'LI</v>
      </c>
      <c r="D524" s="35" t="str">
        <f ca="1">IFERROR(__xludf.DUMMYFUNCTION("""COMPUTED_VALUE"""),"Повар WOK")</f>
        <v>Повар WOK</v>
      </c>
    </row>
    <row r="525" spans="1:4" ht="18" customHeight="1" x14ac:dyDescent="0.25">
      <c r="A525" s="33" t="str">
        <f ca="1">IFERROR(__xludf.DUMMYFUNCTION("""COMPUTED_VALUE"""),"101. Глинка WOK")</f>
        <v>101. Глинка WOK</v>
      </c>
      <c r="B525" s="34">
        <f ca="1">IFERROR(__xludf.DUMMYFUNCTION("""COMPUTED_VALUE"""),38753)</f>
        <v>38753</v>
      </c>
      <c r="C525" s="35" t="str">
        <f ca="1">IFERROR(__xludf.DUMMYFUNCTION("""COMPUTED_VALUE"""),"JO'RAYEV SHOHRUXBEK SHERALI O'G'LI")</f>
        <v>JO'RAYEV SHOHRUXBEK SHERALI O'G'LI</v>
      </c>
      <c r="D525" s="35" t="str">
        <f ca="1">IFERROR(__xludf.DUMMYFUNCTION("""COMPUTED_VALUE"""),"Повар WOK")</f>
        <v>Повар WOK</v>
      </c>
    </row>
    <row r="526" spans="1:4" ht="18" customHeight="1" x14ac:dyDescent="0.25">
      <c r="A526" s="33" t="str">
        <f ca="1">IFERROR(__xludf.DUMMYFUNCTION("""COMPUTED_VALUE"""),"101. Глинка WOK")</f>
        <v>101. Глинка WOK</v>
      </c>
      <c r="B526" s="34">
        <f ca="1">IFERROR(__xludf.DUMMYFUNCTION("""COMPUTED_VALUE"""),38397)</f>
        <v>38397</v>
      </c>
      <c r="C526" s="35" t="str">
        <f ca="1">IFERROR(__xludf.DUMMYFUNCTION("""COMPUTED_VALUE"""),"YAXSHILIKOVA SOHIBA SHUHRAT QIZI")</f>
        <v>YAXSHILIKOVA SOHIBA SHUHRAT QIZI</v>
      </c>
      <c r="D526" s="35" t="str">
        <f ca="1">IFERROR(__xludf.DUMMYFUNCTION("""COMPUTED_VALUE"""),"Универсальный сотрудник Front line")</f>
        <v>Универсальный сотрудник Front line</v>
      </c>
    </row>
    <row r="527" spans="1:4" ht="18" customHeight="1" x14ac:dyDescent="0.25">
      <c r="A527" s="33" t="str">
        <f ca="1">IFERROR(__xludf.DUMMYFUNCTION("""COMPUTED_VALUE"""),"101. Глинка WOK")</f>
        <v>101. Глинка WOK</v>
      </c>
      <c r="B527" s="34">
        <f ca="1">IFERROR(__xludf.DUMMYFUNCTION("""COMPUTED_VALUE"""),38732)</f>
        <v>38732</v>
      </c>
      <c r="C527" s="35" t="str">
        <f ca="1">IFERROR(__xludf.DUMMYFUNCTION("""COMPUTED_VALUE"""),"ERGASHEV JAVOHIRBEK BAHODIR O'G'LI")</f>
        <v>ERGASHEV JAVOHIRBEK BAHODIR O'G'LI</v>
      </c>
      <c r="D527" s="35" t="str">
        <f ca="1">IFERROR(__xludf.DUMMYFUNCTION("""COMPUTED_VALUE"""),"Старший повар Wok")</f>
        <v>Старший повар Wok</v>
      </c>
    </row>
    <row r="528" spans="1:4" ht="18" customHeight="1" x14ac:dyDescent="0.25">
      <c r="A528" s="33" t="str">
        <f ca="1">IFERROR(__xludf.DUMMYFUNCTION("""COMPUTED_VALUE"""),"101. Глинка WOK")</f>
        <v>101. Глинка WOK</v>
      </c>
      <c r="B528" s="34">
        <f ca="1">IFERROR(__xludf.DUMMYFUNCTION("""COMPUTED_VALUE"""),38442)</f>
        <v>38442</v>
      </c>
      <c r="C528" s="35" t="str">
        <f ca="1">IFERROR(__xludf.DUMMYFUNCTION("""COMPUTED_VALUE"""),"TOXIROV JAVOHIR ILXOM O'G'LI")</f>
        <v>TOXIROV JAVOHIR ILXOM O'G'LI</v>
      </c>
      <c r="D528" s="35" t="str">
        <f ca="1">IFERROR(__xludf.DUMMYFUNCTION("""COMPUTED_VALUE"""),"Стажер повар WOK")</f>
        <v>Стажер повар WOK</v>
      </c>
    </row>
    <row r="529" spans="1:4" ht="18" customHeight="1" x14ac:dyDescent="0.25">
      <c r="A529" s="33" t="str">
        <f ca="1">IFERROR(__xludf.DUMMYFUNCTION("""COMPUTED_VALUE"""),"101. Глинка WOK")</f>
        <v>101. Глинка WOK</v>
      </c>
      <c r="B529" s="34">
        <f ca="1">IFERROR(__xludf.DUMMYFUNCTION("""COMPUTED_VALUE"""),38428)</f>
        <v>38428</v>
      </c>
      <c r="C529" s="35" t="str">
        <f ca="1">IFERROR(__xludf.DUMMYFUNCTION("""COMPUTED_VALUE"""),"XOLBOYEVA MANZURA G'AYRAT QIZI")</f>
        <v>XOLBOYEVA MANZURA G'AYRAT QIZI</v>
      </c>
      <c r="D529" s="35" t="str">
        <f ca="1">IFERROR(__xludf.DUMMYFUNCTION("""COMPUTED_VALUE"""),"Стажер первoй линии")</f>
        <v>Стажер первoй линии</v>
      </c>
    </row>
    <row r="530" spans="1:4" ht="18" customHeight="1" x14ac:dyDescent="0.25">
      <c r="A530" s="33" t="str">
        <f ca="1">IFERROR(__xludf.DUMMYFUNCTION("""COMPUTED_VALUE"""),"101. Глинка WOK")</f>
        <v>101. Глинка WOK</v>
      </c>
      <c r="B530" s="34">
        <f ca="1">IFERROR(__xludf.DUMMYFUNCTION("""COMPUTED_VALUE"""),38397)</f>
        <v>38397</v>
      </c>
      <c r="C530" s="35" t="str">
        <f ca="1">IFERROR(__xludf.DUMMYFUNCTION("""COMPUTED_VALUE"""),"NABIYEVA NILUFARXON DILSHOD QIZI")</f>
        <v>NABIYEVA NILUFARXON DILSHOD QIZI</v>
      </c>
      <c r="D530" s="35" t="str">
        <f ca="1">IFERROR(__xludf.DUMMYFUNCTION("""COMPUTED_VALUE"""),"Стажер первoй линии")</f>
        <v>Стажер первoй линии</v>
      </c>
    </row>
    <row r="531" spans="1:4" ht="18" customHeight="1" x14ac:dyDescent="0.25">
      <c r="A531" s="33" t="str">
        <f ca="1">IFERROR(__xludf.DUMMYFUNCTION("""COMPUTED_VALUE"""),"101. Глинка WOK")</f>
        <v>101. Глинка WOK</v>
      </c>
      <c r="B531" s="34">
        <f ca="1">IFERROR(__xludf.DUMMYFUNCTION("""COMPUTED_VALUE"""),39358)</f>
        <v>39358</v>
      </c>
      <c r="C531" s="35" t="str">
        <f ca="1">IFERROR(__xludf.DUMMYFUNCTION("""COMPUTED_VALUE"""),"SHAYDULLAYEV DIYORBEK BOBOMUROT O'G'LI")</f>
        <v>SHAYDULLAYEV DIYORBEK BOBOMUROT O'G'LI</v>
      </c>
      <c r="D531" s="35" t="str">
        <f ca="1">IFERROR(__xludf.DUMMYFUNCTION("""COMPUTED_VALUE"""),"Стажер повар WOK")</f>
        <v>Стажер повар WOK</v>
      </c>
    </row>
    <row r="532" spans="1:4" ht="18" customHeight="1" x14ac:dyDescent="0.25">
      <c r="A532" s="33" t="str">
        <f ca="1">IFERROR(__xludf.DUMMYFUNCTION("""COMPUTED_VALUE"""),"101. Глинка WOK")</f>
        <v>101. Глинка WOK</v>
      </c>
      <c r="B532" s="34">
        <f ca="1">IFERROR(__xludf.DUMMYFUNCTION("""COMPUTED_VALUE"""),39237)</f>
        <v>39237</v>
      </c>
      <c r="C532" s="35" t="str">
        <f ca="1">IFERROR(__xludf.DUMMYFUNCTION("""COMPUTED_VALUE"""),"ASANOVA ZARINA JANIBEK QIZI")</f>
        <v>ASANOVA ZARINA JANIBEK QIZI</v>
      </c>
      <c r="D532" s="35" t="str">
        <f ca="1">IFERROR(__xludf.DUMMYFUNCTION("""COMPUTED_VALUE"""),"Стажер официант")</f>
        <v>Стажер официант</v>
      </c>
    </row>
    <row r="533" spans="1:4" ht="18" customHeight="1" x14ac:dyDescent="0.25">
      <c r="A533" s="33" t="str">
        <f ca="1">IFERROR(__xludf.DUMMYFUNCTION("""COMPUTED_VALUE"""),"101. Глинка WOK")</f>
        <v>101. Глинка WOK</v>
      </c>
      <c r="B533" s="34">
        <f ca="1">IFERROR(__xludf.DUMMYFUNCTION("""COMPUTED_VALUE"""),39250)</f>
        <v>39250</v>
      </c>
      <c r="C533" s="35" t="str">
        <f ca="1">IFERROR(__xludf.DUMMYFUNCTION("""COMPUTED_VALUE"""),"OLIMJONOV MUSTAFOBEK SHOXRUXBEK O'G'LI")</f>
        <v>OLIMJONOV MUSTAFOBEK SHOXRUXBEK O'G'LI</v>
      </c>
      <c r="D533" s="35" t="str">
        <f ca="1">IFERROR(__xludf.DUMMYFUNCTION("""COMPUTED_VALUE"""),"Стажер официант")</f>
        <v>Стажер официант</v>
      </c>
    </row>
    <row r="534" spans="1:4" ht="18" customHeight="1" x14ac:dyDescent="0.25">
      <c r="A534" s="33" t="str">
        <f ca="1">IFERROR(__xludf.DUMMYFUNCTION("""COMPUTED_VALUE"""),"013. Беруний цех
")</f>
        <v xml:space="preserve">013. Беруний цех
</v>
      </c>
      <c r="B534" s="34">
        <f ca="1">IFERROR(__xludf.DUMMYFUNCTION("""COMPUTED_VALUE"""),38449)</f>
        <v>38449</v>
      </c>
      <c r="C534" s="35" t="str">
        <f ca="1">IFERROR(__xludf.DUMMYFUNCTION("""COMPUTED_VALUE"""),"ISLOMQULOV BEHZOD SHOXRUXZODA")</f>
        <v>ISLOMQULOV BEHZOD SHOXRUXZODA</v>
      </c>
      <c r="D534" s="35" t="str">
        <f ca="1">IFERROR(__xludf.DUMMYFUNCTION("""COMPUTED_VALUE"""),"Лидер заготовитель продуктов и сырья")</f>
        <v>Лидер заготовитель продуктов и сырья</v>
      </c>
    </row>
    <row r="535" spans="1:4" ht="18" customHeight="1" x14ac:dyDescent="0.25">
      <c r="A535" s="33" t="str">
        <f ca="1">IFERROR(__xludf.DUMMYFUNCTION("""COMPUTED_VALUE"""),"013. Беруний цех
")</f>
        <v xml:space="preserve">013. Беруний цех
</v>
      </c>
      <c r="B535" s="34">
        <f ca="1">IFERROR(__xludf.DUMMYFUNCTION("""COMPUTED_VALUE"""),38585)</f>
        <v>38585</v>
      </c>
      <c r="C535" s="35" t="str">
        <f ca="1">IFERROR(__xludf.DUMMYFUNCTION("""COMPUTED_VALUE"""),"MAXMUDOV MIRSHOD MANSUR O'G'LI")</f>
        <v>MAXMUDOV MIRSHOD MANSUR O'G'LI</v>
      </c>
      <c r="D535" s="35" t="str">
        <f ca="1">IFERROR(__xludf.DUMMYFUNCTION("""COMPUTED_VALUE"""),"Лидер заготовитель продуктов и сырья")</f>
        <v>Лидер заготовитель продуктов и сырья</v>
      </c>
    </row>
    <row r="536" spans="1:4" ht="18" customHeight="1" x14ac:dyDescent="0.25">
      <c r="A536" s="33" t="str">
        <f ca="1">IFERROR(__xludf.DUMMYFUNCTION("""COMPUTED_VALUE"""),"013. Беруний цех
")</f>
        <v xml:space="preserve">013. Беруний цех
</v>
      </c>
      <c r="B536" s="34">
        <f ca="1">IFERROR(__xludf.DUMMYFUNCTION("""COMPUTED_VALUE"""),38412)</f>
        <v>38412</v>
      </c>
      <c r="C536" s="35" t="str">
        <f ca="1">IFERROR(__xludf.DUMMYFUNCTION("""COMPUTED_VALUE"""),"JO'RAYEV SHERZOD TO'RA O'G'LI")</f>
        <v>JO'RAYEV SHERZOD TO'RA O'G'LI</v>
      </c>
      <c r="D536" s="35" t="str">
        <f ca="1">IFERROR(__xludf.DUMMYFUNCTION("""COMPUTED_VALUE"""),"Старший заготовитель продуктов и сырья")</f>
        <v>Старший заготовитель продуктов и сырья</v>
      </c>
    </row>
    <row r="537" spans="1:4" ht="18" customHeight="1" x14ac:dyDescent="0.25">
      <c r="A537" s="33" t="str">
        <f ca="1">IFERROR(__xludf.DUMMYFUNCTION("""COMPUTED_VALUE"""),"013. Беруний цех
")</f>
        <v xml:space="preserve">013. Беруний цех
</v>
      </c>
      <c r="B537" s="34">
        <f ca="1">IFERROR(__xludf.DUMMYFUNCTION("""COMPUTED_VALUE"""),33138)</f>
        <v>33138</v>
      </c>
      <c r="C537" s="35" t="str">
        <f ca="1">IFERROR(__xludf.DUMMYFUNCTION("""COMPUTED_VALUE"""),"TAXIROVA NIGORAXON TO'XTASIN QIZI")</f>
        <v>TAXIROVA NIGORAXON TO'XTASIN QIZI</v>
      </c>
      <c r="D537" s="35" t="str">
        <f ca="1">IFERROR(__xludf.DUMMYFUNCTION("""COMPUTED_VALUE"""),"Старший заготовитель продуктов и сырья")</f>
        <v>Старший заготовитель продуктов и сырья</v>
      </c>
    </row>
    <row r="538" spans="1:4" ht="18" customHeight="1" x14ac:dyDescent="0.25">
      <c r="A538" s="33" t="str">
        <f ca="1">IFERROR(__xludf.DUMMYFUNCTION("""COMPUTED_VALUE"""),"013. Беруний цех
")</f>
        <v xml:space="preserve">013. Беруний цех
</v>
      </c>
      <c r="B538" s="34">
        <f ca="1">IFERROR(__xludf.DUMMYFUNCTION("""COMPUTED_VALUE"""),39113)</f>
        <v>39113</v>
      </c>
      <c r="C538" s="35" t="str">
        <f ca="1">IFERROR(__xludf.DUMMYFUNCTION("""COMPUTED_VALUE"""),"ABDUMAJITOV HOJIAKBAR NABI O'G'LI")</f>
        <v>ABDUMAJITOV HOJIAKBAR NABI O'G'LI</v>
      </c>
      <c r="D538" s="35" t="str">
        <f ca="1">IFERROR(__xludf.DUMMYFUNCTION("""COMPUTED_VALUE"""),"Старший заготовитель продуктов и сырья")</f>
        <v>Старший заготовитель продуктов и сырья</v>
      </c>
    </row>
    <row r="539" spans="1:4" ht="18" customHeight="1" x14ac:dyDescent="0.25">
      <c r="A539" s="33" t="str">
        <f ca="1">IFERROR(__xludf.DUMMYFUNCTION("""COMPUTED_VALUE"""),"013. Беруний цех
")</f>
        <v xml:space="preserve">013. Беруний цех
</v>
      </c>
      <c r="B539" s="34">
        <f ca="1">IFERROR(__xludf.DUMMYFUNCTION("""COMPUTED_VALUE"""),38815)</f>
        <v>38815</v>
      </c>
      <c r="C539" s="35" t="str">
        <f ca="1">IFERROR(__xludf.DUMMYFUNCTION("""COMPUTED_VALUE"""),"ILMIDDINOV ASLIDDIN SADRODDIN O'G'LI")</f>
        <v>ILMIDDINOV ASLIDDIN SADRODDIN O'G'LI</v>
      </c>
      <c r="D539" s="35" t="str">
        <f ca="1">IFERROR(__xludf.DUMMYFUNCTION("""COMPUTED_VALUE"""),"Старший заготовитель продуктов и сырья")</f>
        <v>Старший заготовитель продуктов и сырья</v>
      </c>
    </row>
    <row r="540" spans="1:4" ht="18" customHeight="1" x14ac:dyDescent="0.25">
      <c r="A540" s="33" t="str">
        <f ca="1">IFERROR(__xludf.DUMMYFUNCTION("""COMPUTED_VALUE"""),"013. Беруний цех
")</f>
        <v xml:space="preserve">013. Беруний цех
</v>
      </c>
      <c r="B540" s="34">
        <f ca="1">IFERROR(__xludf.DUMMYFUNCTION("""COMPUTED_VALUE"""),39287)</f>
        <v>39287</v>
      </c>
      <c r="C540" s="35" t="str">
        <f ca="1">IFERROR(__xludf.DUMMYFUNCTION("""COMPUTED_VALUE"""),"ABDUSALOMOV OG'ABEK TO'LQIN O'G'LI")</f>
        <v>ABDUSALOMOV OG'ABEK TO'LQIN O'G'LI</v>
      </c>
      <c r="D540" s="35" t="str">
        <f ca="1">IFERROR(__xludf.DUMMYFUNCTION("""COMPUTED_VALUE"""),"Старший заготовитель продуктов и сырья")</f>
        <v>Старший заготовитель продуктов и сырья</v>
      </c>
    </row>
    <row r="541" spans="1:4" ht="18" customHeight="1" x14ac:dyDescent="0.25">
      <c r="A541" s="33" t="str">
        <f ca="1">IFERROR(__xludf.DUMMYFUNCTION("""COMPUTED_VALUE"""),"013. Беруний цех
")</f>
        <v xml:space="preserve">013. Беруний цех
</v>
      </c>
      <c r="B541" s="34">
        <f ca="1">IFERROR(__xludf.DUMMYFUNCTION("""COMPUTED_VALUE"""),38611)</f>
        <v>38611</v>
      </c>
      <c r="C541" s="35" t="str">
        <f ca="1">IFERROR(__xludf.DUMMYFUNCTION("""COMPUTED_VALUE"""),"G'OYIBOV XIKMATJON FAXRIDDINOVICH")</f>
        <v>G'OYIBOV XIKMATJON FAXRIDDINOVICH</v>
      </c>
      <c r="D541" s="35" t="str">
        <f ca="1">IFERROR(__xludf.DUMMYFUNCTION("""COMPUTED_VALUE"""),"Старший заготовитель продуктов и сырья")</f>
        <v>Старший заготовитель продуктов и сырья</v>
      </c>
    </row>
    <row r="542" spans="1:4" ht="18" customHeight="1" x14ac:dyDescent="0.25">
      <c r="A542" s="33" t="str">
        <f ca="1">IFERROR(__xludf.DUMMYFUNCTION("""COMPUTED_VALUE"""),"013. Беруний цех
")</f>
        <v xml:space="preserve">013. Беруний цех
</v>
      </c>
      <c r="B542" s="34">
        <f ca="1">IFERROR(__xludf.DUMMYFUNCTION("""COMPUTED_VALUE"""),38397)</f>
        <v>38397</v>
      </c>
      <c r="C542" s="35" t="str">
        <f ca="1">IFERROR(__xludf.DUMMYFUNCTION("""COMPUTED_VALUE"""),"IBROXIMOVA SEVINCH DONIYOR QIZI")</f>
        <v>IBROXIMOVA SEVINCH DONIYOR QIZI</v>
      </c>
      <c r="D542" s="35" t="str">
        <f ca="1">IFERROR(__xludf.DUMMYFUNCTION("""COMPUTED_VALUE"""),"Старший заготовитель продуктов и сырья")</f>
        <v>Старший заготовитель продуктов и сырья</v>
      </c>
    </row>
    <row r="543" spans="1:4" ht="18" customHeight="1" x14ac:dyDescent="0.25">
      <c r="A543" s="33" t="str">
        <f ca="1">IFERROR(__xludf.DUMMYFUNCTION("""COMPUTED_VALUE"""),"013. Беруний цех
")</f>
        <v xml:space="preserve">013. Беруний цех
</v>
      </c>
      <c r="B543" s="34">
        <f ca="1">IFERROR(__xludf.DUMMYFUNCTION("""COMPUTED_VALUE"""),35258)</f>
        <v>35258</v>
      </c>
      <c r="C543" s="35" t="str">
        <f ca="1">IFERROR(__xludf.DUMMYFUNCTION("""COMPUTED_VALUE"""),"ZIYODULLAYEVA DILFUZA SAIDAXMAT QIZI")</f>
        <v>ZIYODULLAYEVA DILFUZA SAIDAXMAT QIZI</v>
      </c>
      <c r="D543" s="35" t="str">
        <f ca="1">IFERROR(__xludf.DUMMYFUNCTION("""COMPUTED_VALUE"""),"Старший заготовитель продуктов и сырья")</f>
        <v>Старший заготовитель продуктов и сырья</v>
      </c>
    </row>
    <row r="544" spans="1:4" ht="18" customHeight="1" x14ac:dyDescent="0.25">
      <c r="A544" s="33" t="str">
        <f ca="1">IFERROR(__xludf.DUMMYFUNCTION("""COMPUTED_VALUE"""),"013. Беруний цех
")</f>
        <v xml:space="preserve">013. Беруний цех
</v>
      </c>
      <c r="B544" s="34">
        <f ca="1">IFERROR(__xludf.DUMMYFUNCTION("""COMPUTED_VALUE"""),39238)</f>
        <v>39238</v>
      </c>
      <c r="C544" s="35" t="str">
        <f ca="1">IFERROR(__xludf.DUMMYFUNCTION("""COMPUTED_VALUE"""),"UMIRZAKOV SHAVKAT ASLJON O'G'LI")</f>
        <v>UMIRZAKOV SHAVKAT ASLJON O'G'LI</v>
      </c>
      <c r="D544" s="35" t="str">
        <f ca="1">IFERROR(__xludf.DUMMYFUNCTION("""COMPUTED_VALUE"""),"Старший заготовитель продуктов и сырья")</f>
        <v>Старший заготовитель продуктов и сырья</v>
      </c>
    </row>
    <row r="545" spans="1:4" ht="18" customHeight="1" x14ac:dyDescent="0.25">
      <c r="A545" s="33" t="str">
        <f ca="1">IFERROR(__xludf.DUMMYFUNCTION("""COMPUTED_VALUE"""),"013. Беруний цех
")</f>
        <v xml:space="preserve">013. Беруний цех
</v>
      </c>
      <c r="B545" s="34">
        <f ca="1">IFERROR(__xludf.DUMMYFUNCTION("""COMPUTED_VALUE"""),45550)</f>
        <v>45550</v>
      </c>
      <c r="C545" s="35" t="str">
        <f ca="1">IFERROR(__xludf.DUMMYFUNCTION("""COMPUTED_VALUE"""),"UMIRZAKOV ORAZ IKRAM ULI")</f>
        <v>UMIRZAKOV ORAZ IKRAM ULI</v>
      </c>
      <c r="D545" s="35" t="str">
        <f ca="1">IFERROR(__xludf.DUMMYFUNCTION("""COMPUTED_VALUE"""),"Стажер заготовитель продуктов и сырья")</f>
        <v>Стажер заготовитель продуктов и сырья</v>
      </c>
    </row>
    <row r="546" spans="1:4" ht="18" customHeight="1" x14ac:dyDescent="0.25">
      <c r="A546" s="33" t="str">
        <f ca="1">IFERROR(__xludf.DUMMYFUNCTION("""COMPUTED_VALUE"""),"013. Беруний цех
")</f>
        <v xml:space="preserve">013. Беруний цех
</v>
      </c>
      <c r="B546" s="34">
        <f ca="1">IFERROR(__xludf.DUMMYFUNCTION("""COMPUTED_VALUE"""),38739)</f>
        <v>38739</v>
      </c>
      <c r="C546" s="35" t="str">
        <f ca="1">IFERROR(__xludf.DUMMYFUNCTION("""COMPUTED_VALUE"""),"ABDUVALIYEVA SEVINCH ABDUSALOM QIZI")</f>
        <v>ABDUVALIYEVA SEVINCH ABDUSALOM QIZI</v>
      </c>
      <c r="D546" s="35" t="str">
        <f ca="1">IFERROR(__xludf.DUMMYFUNCTION("""COMPUTED_VALUE"""),"Стажер заготовитель продуктов и сырья")</f>
        <v>Стажер заготовитель продуктов и сырья</v>
      </c>
    </row>
    <row r="547" spans="1:4" ht="18" customHeight="1" x14ac:dyDescent="0.25">
      <c r="A547" s="33" t="str">
        <f ca="1">IFERROR(__xludf.DUMMYFUNCTION("""COMPUTED_VALUE"""),"013. Беруний цех
")</f>
        <v xml:space="preserve">013. Беруний цех
</v>
      </c>
      <c r="B547" s="34">
        <f ca="1">IFERROR(__xludf.DUMMYFUNCTION("""COMPUTED_VALUE"""),35004)</f>
        <v>35004</v>
      </c>
      <c r="C547" s="35" t="str">
        <f ca="1">IFERROR(__xludf.DUMMYFUNCTION("""COMPUTED_VALUE"""),"AMONDULLAYEVA AZIZA AMONDULLA QIZI")</f>
        <v>AMONDULLAYEVA AZIZA AMONDULLA QIZI</v>
      </c>
      <c r="D547" s="35" t="str">
        <f ca="1">IFERROR(__xludf.DUMMYFUNCTION("""COMPUTED_VALUE"""),"Стажер заготовитель продуктов и сырья")</f>
        <v>Стажер заготовитель продуктов и сырья</v>
      </c>
    </row>
    <row r="548" spans="1:4" ht="18" customHeight="1" x14ac:dyDescent="0.25">
      <c r="A548" s="33" t="str">
        <f ca="1">IFERROR(__xludf.DUMMYFUNCTION("""COMPUTED_VALUE"""),"012. Склад РМС-2")</f>
        <v>012. Склад РМС-2</v>
      </c>
      <c r="B548" s="34">
        <f ca="1">IFERROR(__xludf.DUMMYFUNCTION("""COMPUTED_VALUE"""),25628)</f>
        <v>25628</v>
      </c>
      <c r="C548" s="35" t="str">
        <f ca="1">IFERROR(__xludf.DUMMYFUNCTION("""COMPUTED_VALUE"""),"TURDIYEV MURADJAN ZAKIROVICH")</f>
        <v>TURDIYEV MURADJAN ZAKIROVICH</v>
      </c>
      <c r="D548" s="35" t="str">
        <f ca="1">IFERROR(__xludf.DUMMYFUNCTION("""COMPUTED_VALUE"""),"Заведующий складом")</f>
        <v>Заведующий складом</v>
      </c>
    </row>
    <row r="549" spans="1:4" ht="18" customHeight="1" x14ac:dyDescent="0.25">
      <c r="A549" s="33" t="str">
        <f ca="1">IFERROR(__xludf.DUMMYFUNCTION("""COMPUTED_VALUE"""),"012. Склад РМС-2")</f>
        <v>012. Склад РМС-2</v>
      </c>
      <c r="B549" s="34">
        <f ca="1">IFERROR(__xludf.DUMMYFUNCTION("""COMPUTED_VALUE"""),33983)</f>
        <v>33983</v>
      </c>
      <c r="C549" s="35" t="str">
        <f ca="1">IFERROR(__xludf.DUMMYFUNCTION("""COMPUTED_VALUE"""),"SHAXOBOV DAVRONBEK ZAYNIDDIN O'G'LI")</f>
        <v>SHAXOBOV DAVRONBEK ZAYNIDDIN O'G'LI</v>
      </c>
      <c r="D549" s="35" t="str">
        <f ca="1">IFERROR(__xludf.DUMMYFUNCTION("""COMPUTED_VALUE"""),"Шеф повар")</f>
        <v>Шеф повар</v>
      </c>
    </row>
    <row r="550" spans="1:4" ht="18" customHeight="1" x14ac:dyDescent="0.25">
      <c r="A550" s="33" t="str">
        <f ca="1">IFERROR(__xludf.DUMMYFUNCTION("""COMPUTED_VALUE"""),"012. Склад РМС-2")</f>
        <v>012. Склад РМС-2</v>
      </c>
      <c r="B550" s="34">
        <f ca="1">IFERROR(__xludf.DUMMYFUNCTION("""COMPUTED_VALUE"""),33912)</f>
        <v>33912</v>
      </c>
      <c r="C550" s="35" t="str">
        <f ca="1">IFERROR(__xludf.DUMMYFUNCTION("""COMPUTED_VALUE"""),"RAXIMOV NIZOMJON NABIJANOVICH")</f>
        <v>RAXIMOV NIZOMJON NABIJANOVICH</v>
      </c>
      <c r="D550" s="35" t="str">
        <f ca="1">IFERROR(__xludf.DUMMYFUNCTION("""COMPUTED_VALUE"""),"Повар")</f>
        <v>Повар</v>
      </c>
    </row>
    <row r="551" spans="1:4" ht="18" customHeight="1" x14ac:dyDescent="0.25">
      <c r="A551" s="33" t="str">
        <f ca="1">IFERROR(__xludf.DUMMYFUNCTION("""COMPUTED_VALUE"""),"012. Склад РМС-2")</f>
        <v>012. Склад РМС-2</v>
      </c>
      <c r="B551" s="34">
        <f ca="1">IFERROR(__xludf.DUMMYFUNCTION("""COMPUTED_VALUE"""),34526)</f>
        <v>34526</v>
      </c>
      <c r="C551" s="35" t="str">
        <f ca="1">IFERROR(__xludf.DUMMYFUNCTION("""COMPUTED_VALUE"""),"AREFEV DENIS VITALEVICH")</f>
        <v>AREFEV DENIS VITALEVICH</v>
      </c>
      <c r="D551" s="35" t="str">
        <f ca="1">IFERROR(__xludf.DUMMYFUNCTION("""COMPUTED_VALUE"""),"Снабженец")</f>
        <v>Снабженец</v>
      </c>
    </row>
    <row r="552" spans="1:4" ht="18" customHeight="1" x14ac:dyDescent="0.25">
      <c r="A552" s="33" t="str">
        <f ca="1">IFERROR(__xludf.DUMMYFUNCTION("""COMPUTED_VALUE"""),"012. Склад РМС-2")</f>
        <v>012. Склад РМС-2</v>
      </c>
      <c r="B552" s="34">
        <f ca="1">IFERROR(__xludf.DUMMYFUNCTION("""COMPUTED_VALUE"""),27475)</f>
        <v>27475</v>
      </c>
      <c r="C552" s="35" t="str">
        <f ca="1">IFERROR(__xludf.DUMMYFUNCTION("""COMPUTED_VALUE"""),"NARXODJAYEV ALISHER ABSANIYEVICH")</f>
        <v>NARXODJAYEV ALISHER ABSANIYEVICH</v>
      </c>
      <c r="D552" s="35" t="str">
        <f ca="1">IFERROR(__xludf.DUMMYFUNCTION("""COMPUTED_VALUE"""),"Повар")</f>
        <v>Повар</v>
      </c>
    </row>
    <row r="553" spans="1:4" ht="18" customHeight="1" x14ac:dyDescent="0.25">
      <c r="A553" s="33" t="str">
        <f ca="1">IFERROR(__xludf.DUMMYFUNCTION("""COMPUTED_VALUE"""),"012. Склад РМС-2")</f>
        <v>012. Склад РМС-2</v>
      </c>
      <c r="B553" s="34">
        <f ca="1">IFERROR(__xludf.DUMMYFUNCTION("""COMPUTED_VALUE"""),32200)</f>
        <v>32200</v>
      </c>
      <c r="C553" s="35" t="str">
        <f ca="1">IFERROR(__xludf.DUMMYFUNCTION("""COMPUTED_VALUE"""),"MELNIKOVA OLESYA VADIMOVNA")</f>
        <v>MELNIKOVA OLESYA VADIMOVNA</v>
      </c>
      <c r="D553" s="35" t="str">
        <f ca="1">IFERROR(__xludf.DUMMYFUNCTION("""COMPUTED_VALUE"""),"Финансовый аналитик ")</f>
        <v xml:space="preserve">Финансовый аналитик </v>
      </c>
    </row>
    <row r="554" spans="1:4" ht="18" customHeight="1" x14ac:dyDescent="0.25">
      <c r="A554" s="33" t="str">
        <f ca="1">IFERROR(__xludf.DUMMYFUNCTION("""COMPUTED_VALUE"""),"012. Склад РМС-2")</f>
        <v>012. Склад РМС-2</v>
      </c>
      <c r="B554" s="34">
        <f ca="1">IFERROR(__xludf.DUMMYFUNCTION("""COMPUTED_VALUE"""),36297)</f>
        <v>36297</v>
      </c>
      <c r="C554" s="35" t="str">
        <f ca="1">IFERROR(__xludf.DUMMYFUNCTION("""COMPUTED_VALUE"""),"ESIRGAPOV SANJAR SHERALI O'G'LI")</f>
        <v>ESIRGAPOV SANJAR SHERALI O'G'LI</v>
      </c>
      <c r="D554" s="35" t="str">
        <f ca="1">IFERROR(__xludf.DUMMYFUNCTION("""COMPUTED_VALUE"""),"Заготовитель продуктов и сырья")</f>
        <v>Заготовитель продуктов и сырья</v>
      </c>
    </row>
    <row r="555" spans="1:4" ht="18" customHeight="1" x14ac:dyDescent="0.25">
      <c r="A555" s="33" t="str">
        <f ca="1">IFERROR(__xludf.DUMMYFUNCTION("""COMPUTED_VALUE"""),"012. Склад РМС-2")</f>
        <v>012. Склад РМС-2</v>
      </c>
      <c r="B555" s="34">
        <f ca="1">IFERROR(__xludf.DUMMYFUNCTION("""COMPUTED_VALUE"""),37245)</f>
        <v>37245</v>
      </c>
      <c r="C555" s="35" t="str">
        <f ca="1">IFERROR(__xludf.DUMMYFUNCTION("""COMPUTED_VALUE"""),"OCHILBOYEV BAHROMBEK NODIR O'G'LI")</f>
        <v>OCHILBOYEV BAHROMBEK NODIR O'G'LI</v>
      </c>
      <c r="D555" s="35" t="str">
        <f ca="1">IFERROR(__xludf.DUMMYFUNCTION("""COMPUTED_VALUE"""),"Старший заготовитель продуктов и сырья")</f>
        <v>Старший заготовитель продуктов и сырья</v>
      </c>
    </row>
    <row r="556" spans="1:4" ht="18" customHeight="1" x14ac:dyDescent="0.25">
      <c r="A556" s="33" t="str">
        <f ca="1">IFERROR(__xludf.DUMMYFUNCTION("""COMPUTED_VALUE"""),"012. Склад РМС-2")</f>
        <v>012. Склад РМС-2</v>
      </c>
      <c r="B556" s="34">
        <f ca="1">IFERROR(__xludf.DUMMYFUNCTION("""COMPUTED_VALUE"""),37420)</f>
        <v>37420</v>
      </c>
      <c r="C556" s="35" t="str">
        <f ca="1">IFERROR(__xludf.DUMMYFUNCTION("""COMPUTED_VALUE"""),"KOMOLOV RAVSHAN JOVLI O'G'LI")</f>
        <v>KOMOLOV RAVSHAN JOVLI O'G'LI</v>
      </c>
      <c r="D556" s="35" t="str">
        <f ca="1">IFERROR(__xludf.DUMMYFUNCTION("""COMPUTED_VALUE"""),"Заготовитель продуктов и сырья")</f>
        <v>Заготовитель продуктов и сырья</v>
      </c>
    </row>
    <row r="557" spans="1:4" ht="18" customHeight="1" x14ac:dyDescent="0.25">
      <c r="A557" s="33" t="str">
        <f ca="1">IFERROR(__xludf.DUMMYFUNCTION("""COMPUTED_VALUE"""),"012. Склад РМС-2")</f>
        <v>012. Склад РМС-2</v>
      </c>
      <c r="B557" s="34">
        <f ca="1">IFERROR(__xludf.DUMMYFUNCTION("""COMPUTED_VALUE"""),29807)</f>
        <v>29807</v>
      </c>
      <c r="C557" s="35" t="str">
        <f ca="1">IFERROR(__xludf.DUMMYFUNCTION("""COMPUTED_VALUE"""),"SARIMSAKOV BOTIR TAXIROVICH")</f>
        <v>SARIMSAKOV BOTIR TAXIROVICH</v>
      </c>
      <c r="D557" s="35" t="str">
        <f ca="1">IFERROR(__xludf.DUMMYFUNCTION("""COMPUTED_VALUE"""),"Повар")</f>
        <v>Повар</v>
      </c>
    </row>
    <row r="558" spans="1:4" ht="18" customHeight="1" x14ac:dyDescent="0.25">
      <c r="A558" s="33" t="str">
        <f ca="1">IFERROR(__xludf.DUMMYFUNCTION("""COMPUTED_VALUE"""),"012. Склад РМС-2")</f>
        <v>012. Склад РМС-2</v>
      </c>
      <c r="B558" s="34">
        <f ca="1">IFERROR(__xludf.DUMMYFUNCTION("""COMPUTED_VALUE"""),25893)</f>
        <v>25893</v>
      </c>
      <c r="C558" s="35" t="str">
        <f ca="1">IFERROR(__xludf.DUMMYFUNCTION("""COMPUTED_VALUE"""),"TUYCHIYEV SHUXRAT YULDASHEVICH")</f>
        <v>TUYCHIYEV SHUXRAT YULDASHEVICH</v>
      </c>
      <c r="D558" s="35" t="str">
        <f ca="1">IFERROR(__xludf.DUMMYFUNCTION("""COMPUTED_VALUE"""),"Изготовитель мясных полуфабрикатов")</f>
        <v>Изготовитель мясных полуфабрикатов</v>
      </c>
    </row>
    <row r="559" spans="1:4" ht="18" customHeight="1" x14ac:dyDescent="0.25">
      <c r="A559" s="33" t="str">
        <f ca="1">IFERROR(__xludf.DUMMYFUNCTION("""COMPUTED_VALUE"""),"012. Склад РМС-2")</f>
        <v>012. Склад РМС-2</v>
      </c>
      <c r="B559" s="34">
        <f ca="1">IFERROR(__xludf.DUMMYFUNCTION("""COMPUTED_VALUE"""),28590)</f>
        <v>28590</v>
      </c>
      <c r="C559" s="35" t="str">
        <f ca="1">IFERROR(__xludf.DUMMYFUNCTION("""COMPUTED_VALUE"""),"AZIZOV ABDUVALI XALILOVICH")</f>
        <v>AZIZOV ABDUVALI XALILOVICH</v>
      </c>
      <c r="D559" s="35" t="str">
        <f ca="1">IFERROR(__xludf.DUMMYFUNCTION("""COMPUTED_VALUE"""),"Изготовитель мясных полуфабрикатов")</f>
        <v>Изготовитель мясных полуфабрикатов</v>
      </c>
    </row>
    <row r="560" spans="1:4" ht="18" customHeight="1" x14ac:dyDescent="0.25">
      <c r="A560" s="33" t="str">
        <f ca="1">IFERROR(__xludf.DUMMYFUNCTION("""COMPUTED_VALUE"""),"012. Склад РМС-2")</f>
        <v>012. Склад РМС-2</v>
      </c>
      <c r="B560" s="34">
        <f ca="1">IFERROR(__xludf.DUMMYFUNCTION("""COMPUTED_VALUE"""),31675)</f>
        <v>31675</v>
      </c>
      <c r="C560" s="35" t="str">
        <f ca="1">IFERROR(__xludf.DUMMYFUNCTION("""COMPUTED_VALUE"""),"SAFAROVA XILOLA AXMADJANOVNA")</f>
        <v>SAFAROVA XILOLA AXMADJANOVNA</v>
      </c>
      <c r="D560" s="35" t="str">
        <f ca="1">IFERROR(__xludf.DUMMYFUNCTION("""COMPUTED_VALUE"""),"Контролёр заказов")</f>
        <v>Контролёр заказов</v>
      </c>
    </row>
    <row r="561" spans="1:4" ht="18" customHeight="1" x14ac:dyDescent="0.25">
      <c r="A561" s="33" t="str">
        <f ca="1">IFERROR(__xludf.DUMMYFUNCTION("""COMPUTED_VALUE"""),"012. Склад РМС-2")</f>
        <v>012. Склад РМС-2</v>
      </c>
      <c r="B561" s="34">
        <f ca="1">IFERROR(__xludf.DUMMYFUNCTION("""COMPUTED_VALUE"""),38161)</f>
        <v>38161</v>
      </c>
      <c r="C561" s="35" t="str">
        <f ca="1">IFERROR(__xludf.DUMMYFUNCTION("""COMPUTED_VALUE"""),"QAHHOROV ASLIDDIN SIROJIDDIN O'G'LI")</f>
        <v>QAHHOROV ASLIDDIN SIROJIDDIN O'G'LI</v>
      </c>
      <c r="D561" s="35" t="str">
        <f ca="1">IFERROR(__xludf.DUMMYFUNCTION("""COMPUTED_VALUE"""),"Заготовитель продуктов и сырья")</f>
        <v>Заготовитель продуктов и сырья</v>
      </c>
    </row>
    <row r="562" spans="1:4" ht="18" customHeight="1" x14ac:dyDescent="0.25">
      <c r="A562" s="33" t="str">
        <f ca="1">IFERROR(__xludf.DUMMYFUNCTION("""COMPUTED_VALUE"""),"012. Склад РМС-2")</f>
        <v>012. Склад РМС-2</v>
      </c>
      <c r="B562" s="34">
        <f ca="1">IFERROR(__xludf.DUMMYFUNCTION("""COMPUTED_VALUE"""),34401)</f>
        <v>34401</v>
      </c>
      <c r="C562" s="35" t="str">
        <f ca="1">IFERROR(__xludf.DUMMYFUNCTION("""COMPUTED_VALUE"""),"AMIROVA GULJAHON ABDULLAYEVNA")</f>
        <v>AMIROVA GULJAHON ABDULLAYEVNA</v>
      </c>
      <c r="D562" s="35" t="str">
        <f ca="1">IFERROR(__xludf.DUMMYFUNCTION("""COMPUTED_VALUE"""),"Заготовитель продуктов и сырья")</f>
        <v>Заготовитель продуктов и сырья</v>
      </c>
    </row>
    <row r="563" spans="1:4" ht="18" customHeight="1" x14ac:dyDescent="0.25">
      <c r="A563" s="33" t="str">
        <f ca="1">IFERROR(__xludf.DUMMYFUNCTION("""COMPUTED_VALUE"""),"012. Склад РМС-2")</f>
        <v>012. Склад РМС-2</v>
      </c>
      <c r="B563" s="34">
        <f ca="1">IFERROR(__xludf.DUMMYFUNCTION("""COMPUTED_VALUE"""),38696)</f>
        <v>38696</v>
      </c>
      <c r="C563" s="35" t="str">
        <f ca="1">IFERROR(__xludf.DUMMYFUNCTION("""COMPUTED_VALUE"""),"O'ROLOV ASLIDDIN HUSNIDDIN O'G'LI")</f>
        <v>O'ROLOV ASLIDDIN HUSNIDDIN O'G'LI</v>
      </c>
      <c r="D563" s="35" t="str">
        <f ca="1">IFERROR(__xludf.DUMMYFUNCTION("""COMPUTED_VALUE"""),"Рабочий кухни")</f>
        <v>Рабочий кухни</v>
      </c>
    </row>
    <row r="564" spans="1:4" ht="18" customHeight="1" x14ac:dyDescent="0.25">
      <c r="A564" s="33" t="str">
        <f ca="1">IFERROR(__xludf.DUMMYFUNCTION("""COMPUTED_VALUE"""),"012. Склад РМС-2")</f>
        <v>012. Склад РМС-2</v>
      </c>
      <c r="B564" s="34">
        <f ca="1">IFERROR(__xludf.DUMMYFUNCTION("""COMPUTED_VALUE"""),28989)</f>
        <v>28989</v>
      </c>
      <c r="C564" s="35" t="str">
        <f ca="1">IFERROR(__xludf.DUMMYFUNCTION("""COMPUTED_VALUE"""),"DAVRONOVA RAYXON FOZILOVNA")</f>
        <v>DAVRONOVA RAYXON FOZILOVNA</v>
      </c>
      <c r="D564" s="35" t="str">
        <f ca="1">IFERROR(__xludf.DUMMYFUNCTION("""COMPUTED_VALUE"""),"Заготовитель продуктов и сырья")</f>
        <v>Заготовитель продуктов и сырья</v>
      </c>
    </row>
    <row r="565" spans="1:4" ht="18" customHeight="1" x14ac:dyDescent="0.25">
      <c r="A565" s="33" t="str">
        <f ca="1">IFERROR(__xludf.DUMMYFUNCTION("""COMPUTED_VALUE"""),"012. Склад РМС-2")</f>
        <v>012. Склад РМС-2</v>
      </c>
      <c r="B565" s="34">
        <f ca="1">IFERROR(__xludf.DUMMYFUNCTION("""COMPUTED_VALUE"""),33407)</f>
        <v>33407</v>
      </c>
      <c r="C565" s="35" t="str">
        <f ca="1">IFERROR(__xludf.DUMMYFUNCTION("""COMPUTED_VALUE"""),"ABDIYEVA MAHBUBA MURODULLAYEVNA")</f>
        <v>ABDIYEVA MAHBUBA MURODULLAYEVNA</v>
      </c>
      <c r="D565" s="35" t="str">
        <f ca="1">IFERROR(__xludf.DUMMYFUNCTION("""COMPUTED_VALUE"""),"Заготовитель продуктов и сырья")</f>
        <v>Заготовитель продуктов и сырья</v>
      </c>
    </row>
    <row r="566" spans="1:4" ht="18" customHeight="1" x14ac:dyDescent="0.25">
      <c r="A566" s="33" t="str">
        <f ca="1">IFERROR(__xludf.DUMMYFUNCTION("""COMPUTED_VALUE"""),"012. Склад РМС-2")</f>
        <v>012. Склад РМС-2</v>
      </c>
      <c r="B566" s="34">
        <f ca="1">IFERROR(__xludf.DUMMYFUNCTION("""COMPUTED_VALUE"""),38928)</f>
        <v>38928</v>
      </c>
      <c r="C566" s="35" t="str">
        <f ca="1">IFERROR(__xludf.DUMMYFUNCTION("""COMPUTED_VALUE"""),"XUDOYBERDIYEV SHUHRATJON QAMARIDDIN O'G'LI")</f>
        <v>XUDOYBERDIYEV SHUHRATJON QAMARIDDIN O'G'LI</v>
      </c>
      <c r="D566" s="35" t="str">
        <f ca="1">IFERROR(__xludf.DUMMYFUNCTION("""COMPUTED_VALUE"""),"Старший заготовитель продуктов и сырья")</f>
        <v>Старший заготовитель продуктов и сырья</v>
      </c>
    </row>
    <row r="567" spans="1:4" ht="18" customHeight="1" x14ac:dyDescent="0.25">
      <c r="A567" s="33" t="str">
        <f ca="1">IFERROR(__xludf.DUMMYFUNCTION("""COMPUTED_VALUE"""),"012. Склад РМС-2")</f>
        <v>012. Склад РМС-2</v>
      </c>
      <c r="B567" s="34">
        <f ca="1">IFERROR(__xludf.DUMMYFUNCTION("""COMPUTED_VALUE"""),38683)</f>
        <v>38683</v>
      </c>
      <c r="C567" s="35" t="str">
        <f ca="1">IFERROR(__xludf.DUMMYFUNCTION("""COMPUTED_VALUE"""),"QOSIMOB AKROMJON NODIR UGLI")</f>
        <v>QOSIMOB AKROMJON NODIR UGLI</v>
      </c>
      <c r="D567" s="35" t="str">
        <f ca="1">IFERROR(__xludf.DUMMYFUNCTION("""COMPUTED_VALUE"""),"Грузчик ")</f>
        <v xml:space="preserve">Грузчик </v>
      </c>
    </row>
    <row r="568" spans="1:4" ht="18" customHeight="1" x14ac:dyDescent="0.25">
      <c r="A568" s="33" t="str">
        <f ca="1">IFERROR(__xludf.DUMMYFUNCTION("""COMPUTED_VALUE"""),"012. Склад РМС-2")</f>
        <v>012. Склад РМС-2</v>
      </c>
      <c r="B568" s="34">
        <f ca="1">IFERROR(__xludf.DUMMYFUNCTION("""COMPUTED_VALUE"""),33103)</f>
        <v>33103</v>
      </c>
      <c r="C568" s="35" t="str">
        <f ca="1">IFERROR(__xludf.DUMMYFUNCTION("""COMPUTED_VALUE"""),"RASULOVA ZAYNAB ABDIMUROD QIZI")</f>
        <v>RASULOVA ZAYNAB ABDIMUROD QIZI</v>
      </c>
      <c r="D568" s="35" t="str">
        <f ca="1">IFERROR(__xludf.DUMMYFUNCTION("""COMPUTED_VALUE"""),"Рабочий кухни")</f>
        <v>Рабочий кухни</v>
      </c>
    </row>
    <row r="569" spans="1:4" ht="18" customHeight="1" x14ac:dyDescent="0.25">
      <c r="A569" s="33" t="str">
        <f ca="1">IFERROR(__xludf.DUMMYFUNCTION("""COMPUTED_VALUE"""),"012. Склад РМС-2")</f>
        <v>012. Склад РМС-2</v>
      </c>
      <c r="B569" s="34">
        <f ca="1">IFERROR(__xludf.DUMMYFUNCTION("""COMPUTED_VALUE"""),39072)</f>
        <v>39072</v>
      </c>
      <c r="C569" s="35" t="str">
        <f ca="1">IFERROR(__xludf.DUMMYFUNCTION("""COMPUTED_VALUE"""),"JO'RAQULOV SARDORBEK MUZAFFAR O'G'LI")</f>
        <v>JO'RAQULOV SARDORBEK MUZAFFAR O'G'LI</v>
      </c>
      <c r="D569" s="35" t="str">
        <f ca="1">IFERROR(__xludf.DUMMYFUNCTION("""COMPUTED_VALUE"""),"Стажер грузчик")</f>
        <v>Стажер грузчик</v>
      </c>
    </row>
    <row r="570" spans="1:4" ht="18" customHeight="1" x14ac:dyDescent="0.25">
      <c r="A570" s="33" t="str">
        <f ca="1">IFERROR(__xludf.DUMMYFUNCTION("""COMPUTED_VALUE"""),"012. Склад РМС-2")</f>
        <v>012. Склад РМС-2</v>
      </c>
      <c r="B570" s="34">
        <f ca="1">IFERROR(__xludf.DUMMYFUNCTION("""COMPUTED_VALUE"""),33829)</f>
        <v>33829</v>
      </c>
      <c r="C570" s="35" t="str">
        <f ca="1">IFERROR(__xludf.DUMMYFUNCTION("""COMPUTED_VALUE"""),"AMIROVA SOHIBA ABDULLAYEVNA")</f>
        <v>AMIROVA SOHIBA ABDULLAYEVNA</v>
      </c>
      <c r="D570" s="35" t="str">
        <f ca="1">IFERROR(__xludf.DUMMYFUNCTION("""COMPUTED_VALUE"""),"Рабочий кухни")</f>
        <v>Рабочий кухни</v>
      </c>
    </row>
    <row r="571" spans="1:4" ht="18" customHeight="1" x14ac:dyDescent="0.25">
      <c r="A571" s="33" t="str">
        <f ca="1">IFERROR(__xludf.DUMMYFUNCTION("""COMPUTED_VALUE"""),"012. Склад РМС-2")</f>
        <v>012. Склад РМС-2</v>
      </c>
      <c r="B571" s="34">
        <f ca="1">IFERROR(__xludf.DUMMYFUNCTION("""COMPUTED_VALUE"""),32855)</f>
        <v>32855</v>
      </c>
      <c r="C571" s="35" t="str">
        <f ca="1">IFERROR(__xludf.DUMMYFUNCTION("""COMPUTED_VALUE"""),"SHAYMANOVA DILNOZA JUMANAZAROVNA")</f>
        <v>SHAYMANOVA DILNOZA JUMANAZAROVNA</v>
      </c>
      <c r="D571" s="35" t="str">
        <f ca="1">IFERROR(__xludf.DUMMYFUNCTION("""COMPUTED_VALUE"""),"Рабочий кухни")</f>
        <v>Рабочий кухни</v>
      </c>
    </row>
    <row r="572" spans="1:4" ht="18" customHeight="1" x14ac:dyDescent="0.25">
      <c r="A572" s="33" t="str">
        <f ca="1">IFERROR(__xludf.DUMMYFUNCTION("""COMPUTED_VALUE"""),"012. Склад РМС-2")</f>
        <v>012. Склад РМС-2</v>
      </c>
      <c r="B572" s="34">
        <f ca="1">IFERROR(__xludf.DUMMYFUNCTION("""COMPUTED_VALUE"""),38446)</f>
        <v>38446</v>
      </c>
      <c r="C572" s="35" t="str">
        <f ca="1">IFERROR(__xludf.DUMMYFUNCTION("""COMPUTED_VALUE"""),"ESHMAMATOV JAVOHIR KAMOLIDDIN O'G'LI")</f>
        <v>ESHMAMATOV JAVOHIR KAMOLIDDIN O'G'LI</v>
      </c>
      <c r="D572" s="35" t="str">
        <f ca="1">IFERROR(__xludf.DUMMYFUNCTION("""COMPUTED_VALUE"""),"Грузчик")</f>
        <v>Грузчик</v>
      </c>
    </row>
    <row r="573" spans="1:4" ht="18" customHeight="1" x14ac:dyDescent="0.25">
      <c r="A573" s="33" t="str">
        <f ca="1">IFERROR(__xludf.DUMMYFUNCTION("""COMPUTED_VALUE"""),"012. Склад РМС-2")</f>
        <v>012. Склад РМС-2</v>
      </c>
      <c r="B573" s="34">
        <f ca="1">IFERROR(__xludf.DUMMYFUNCTION("""COMPUTED_VALUE"""),30006)</f>
        <v>30006</v>
      </c>
      <c r="C573" s="35" t="str">
        <f ca="1">IFERROR(__xludf.DUMMYFUNCTION("""COMPUTED_VALUE"""),"XAYDAROVA GAVXAR MUSTAFAYEVNA")</f>
        <v>XAYDAROVA GAVXAR MUSTAFAYEVNA</v>
      </c>
      <c r="D573" s="35" t="str">
        <f ca="1">IFERROR(__xludf.DUMMYFUNCTION("""COMPUTED_VALUE"""),"Заготовитель продуктов и сырья")</f>
        <v>Заготовитель продуктов и сырья</v>
      </c>
    </row>
    <row r="574" spans="1:4" ht="18" customHeight="1" x14ac:dyDescent="0.25">
      <c r="A574" s="33" t="str">
        <f ca="1">IFERROR(__xludf.DUMMYFUNCTION("""COMPUTED_VALUE"""),"012. Склад РМС-2")</f>
        <v>012. Склад РМС-2</v>
      </c>
      <c r="B574" s="34">
        <f ca="1">IFERROR(__xludf.DUMMYFUNCTION("""COMPUTED_VALUE"""),37606)</f>
        <v>37606</v>
      </c>
      <c r="C574" s="35" t="str">
        <f ca="1">IFERROR(__xludf.DUMMYFUNCTION("""COMPUTED_VALUE"""),"FOZILOV RAHMONBEK GULOMJON O'G'LI")</f>
        <v>FOZILOV RAHMONBEK GULOMJON O'G'LI</v>
      </c>
      <c r="D574" s="35" t="str">
        <f ca="1">IFERROR(__xludf.DUMMYFUNCTION("""COMPUTED_VALUE"""),"Повар")</f>
        <v>Повар</v>
      </c>
    </row>
    <row r="575" spans="1:4" ht="18" customHeight="1" x14ac:dyDescent="0.25">
      <c r="A575" s="33" t="str">
        <f ca="1">IFERROR(__xludf.DUMMYFUNCTION("""COMPUTED_VALUE"""),"012. Склад РМС-2")</f>
        <v>012. Склад РМС-2</v>
      </c>
      <c r="B575" s="34">
        <f ca="1">IFERROR(__xludf.DUMMYFUNCTION("""COMPUTED_VALUE"""),23116)</f>
        <v>23116</v>
      </c>
      <c r="C575" s="35" t="str">
        <f ca="1">IFERROR(__xludf.DUMMYFUNCTION("""COMPUTED_VALUE"""),"ZAYNUTDINOV SHAVKAT SHAMSIDINOVICH")</f>
        <v>ZAYNUTDINOV SHAVKAT SHAMSIDINOVICH</v>
      </c>
      <c r="D575" s="35" t="str">
        <f ca="1">IFERROR(__xludf.DUMMYFUNCTION("""COMPUTED_VALUE"""),"Изготовитель мясных полуфабрикатов")</f>
        <v>Изготовитель мясных полуфабрикатов</v>
      </c>
    </row>
    <row r="576" spans="1:4" ht="18" customHeight="1" x14ac:dyDescent="0.25">
      <c r="A576" s="33" t="str">
        <f ca="1">IFERROR(__xludf.DUMMYFUNCTION("""COMPUTED_VALUE"""),"012. Склад РМС-2")</f>
        <v>012. Склад РМС-2</v>
      </c>
      <c r="B576" s="34">
        <f ca="1">IFERROR(__xludf.DUMMYFUNCTION("""COMPUTED_VALUE"""),29576)</f>
        <v>29576</v>
      </c>
      <c r="C576" s="35" t="str">
        <f ca="1">IFERROR(__xludf.DUMMYFUNCTION("""COMPUTED_VALUE"""),"BURIYEVA MAYRAM NAZARALIYEVNA")</f>
        <v>BURIYEVA MAYRAM NAZARALIYEVNA</v>
      </c>
      <c r="D576" s="35" t="str">
        <f ca="1">IFERROR(__xludf.DUMMYFUNCTION("""COMPUTED_VALUE"""),"Рабочий кухни")</f>
        <v>Рабочий кухни</v>
      </c>
    </row>
    <row r="577" spans="1:4" ht="18" customHeight="1" x14ac:dyDescent="0.25">
      <c r="A577" s="33" t="str">
        <f ca="1">IFERROR(__xludf.DUMMYFUNCTION("""COMPUTED_VALUE"""),"012. Склад РМС-2")</f>
        <v>012. Склад РМС-2</v>
      </c>
      <c r="B577" s="34">
        <f ca="1">IFERROR(__xludf.DUMMYFUNCTION("""COMPUTED_VALUE"""),37907)</f>
        <v>37907</v>
      </c>
      <c r="C577" s="35" t="str">
        <f ca="1">IFERROR(__xludf.DUMMYFUNCTION("""COMPUTED_VALUE"""),"UMAROV AZIZBEK ULUG'BEK O'G'LI")</f>
        <v>UMAROV AZIZBEK ULUG'BEK O'G'LI</v>
      </c>
      <c r="D577" s="35"/>
    </row>
    <row r="578" spans="1:4" ht="18" customHeight="1" x14ac:dyDescent="0.25">
      <c r="A578" s="33" t="str">
        <f ca="1">IFERROR(__xludf.DUMMYFUNCTION("""COMPUTED_VALUE"""),"012. Склад РМС-2")</f>
        <v>012. Склад РМС-2</v>
      </c>
      <c r="B578" s="34">
        <f ca="1">IFERROR(__xludf.DUMMYFUNCTION("""COMPUTED_VALUE"""),29568)</f>
        <v>29568</v>
      </c>
      <c r="C578" s="35" t="str">
        <f ca="1">IFERROR(__xludf.DUMMYFUNCTION("""COMPUTED_VALUE"""),"MAVLONOVA ZAMIRA TURDIYEVNA")</f>
        <v>MAVLONOVA ZAMIRA TURDIYEVNA</v>
      </c>
      <c r="D578" s="35" t="str">
        <f ca="1">IFERROR(__xludf.DUMMYFUNCTION("""COMPUTED_VALUE"""),"Рабочий кухни (Техничка, мойка)")</f>
        <v>Рабочий кухни (Техничка, мойка)</v>
      </c>
    </row>
    <row r="579" spans="1:4" ht="18" customHeight="1" x14ac:dyDescent="0.25">
      <c r="A579" s="33" t="str">
        <f ca="1">IFERROR(__xludf.DUMMYFUNCTION("""COMPUTED_VALUE"""),"012. Склад РМС-2")</f>
        <v>012. Склад РМС-2</v>
      </c>
      <c r="B579" s="34">
        <f ca="1">IFERROR(__xludf.DUMMYFUNCTION("""COMPUTED_VALUE"""),27944)</f>
        <v>27944</v>
      </c>
      <c r="C579" s="35" t="str">
        <f ca="1">IFERROR(__xludf.DUMMYFUNCTION("""COMPUTED_VALUE"""),"MUXTAROVA GULSARA XUSHVAQ QIZI")</f>
        <v>MUXTAROVA GULSARA XUSHVAQ QIZI</v>
      </c>
      <c r="D579" s="35" t="str">
        <f ca="1">IFERROR(__xludf.DUMMYFUNCTION("""COMPUTED_VALUE"""),"Стажер заготовитель продуктов и сырья")</f>
        <v>Стажер заготовитель продуктов и сырья</v>
      </c>
    </row>
    <row r="580" spans="1:4" ht="18" customHeight="1" x14ac:dyDescent="0.25">
      <c r="A580" s="33" t="str">
        <f ca="1">IFERROR(__xludf.DUMMYFUNCTION("""COMPUTED_VALUE"""),"012. Склад РМС-2")</f>
        <v>012. Склад РМС-2</v>
      </c>
      <c r="B580" s="34">
        <f ca="1">IFERROR(__xludf.DUMMYFUNCTION("""COMPUTED_VALUE"""),31159)</f>
        <v>31159</v>
      </c>
      <c r="C580" s="35" t="str">
        <f ca="1">IFERROR(__xludf.DUMMYFUNCTION("""COMPUTED_VALUE"""),"XAYDAROV QUDRATILLA FAYZULLAYEVICH")</f>
        <v>XAYDAROV QUDRATILLA FAYZULLAYEVICH</v>
      </c>
      <c r="D580" s="35" t="str">
        <f ca="1">IFERROR(__xludf.DUMMYFUNCTION("""COMPUTED_VALUE"""),"Повар (1 разряд)")</f>
        <v>Повар (1 разряд)</v>
      </c>
    </row>
    <row r="581" spans="1:4" ht="18" customHeight="1" x14ac:dyDescent="0.25">
      <c r="A581" s="33" t="str">
        <f ca="1">IFERROR(__xludf.DUMMYFUNCTION("""COMPUTED_VALUE"""),"012. Склад РМС-2")</f>
        <v>012. Склад РМС-2</v>
      </c>
      <c r="B581" s="34">
        <f ca="1">IFERROR(__xludf.DUMMYFUNCTION("""COMPUTED_VALUE"""),37337)</f>
        <v>37337</v>
      </c>
      <c r="C581" s="35" t="str">
        <f ca="1">IFERROR(__xludf.DUMMYFUNCTION("""COMPUTED_VALUE"""),"BEKTOVOV NODIRBEK RUSTAM O'G'LI")</f>
        <v>BEKTOVOV NODIRBEK RUSTAM O'G'LI</v>
      </c>
      <c r="D581" s="35" t="str">
        <f ca="1">IFERROR(__xludf.DUMMYFUNCTION("""COMPUTED_VALUE"""),"Грузчик")</f>
        <v>Грузчик</v>
      </c>
    </row>
    <row r="582" spans="1:4" ht="18" customHeight="1" x14ac:dyDescent="0.25">
      <c r="A582" s="33" t="str">
        <f ca="1">IFERROR(__xludf.DUMMYFUNCTION("""COMPUTED_VALUE"""),"011. Склад РМС-1")</f>
        <v>011. Склад РМС-1</v>
      </c>
      <c r="B582" s="34">
        <f ca="1">IFERROR(__xludf.DUMMYFUNCTION("""COMPUTED_VALUE"""),26575)</f>
        <v>26575</v>
      </c>
      <c r="C582" s="35" t="str">
        <f ca="1">IFERROR(__xludf.DUMMYFUNCTION("""COMPUTED_VALUE"""),"ALIMOV MAXAMMADJAN ALIMJANOVICH")</f>
        <v>ALIMOV MAXAMMADJAN ALIMJANOVICH</v>
      </c>
      <c r="D582" s="35" t="str">
        <f ca="1">IFERROR(__xludf.DUMMYFUNCTION("""COMPUTED_VALUE"""),"Заведующий складом")</f>
        <v>Заведующий складом</v>
      </c>
    </row>
    <row r="583" spans="1:4" ht="18" customHeight="1" x14ac:dyDescent="0.25">
      <c r="A583" s="33" t="str">
        <f ca="1">IFERROR(__xludf.DUMMYFUNCTION("""COMPUTED_VALUE"""),"011. Склад РМС-1")</f>
        <v>011. Склад РМС-1</v>
      </c>
      <c r="B583" s="34">
        <f ca="1">IFERROR(__xludf.DUMMYFUNCTION("""COMPUTED_VALUE"""),33359)</f>
        <v>33359</v>
      </c>
      <c r="C583" s="35" t="str">
        <f ca="1">IFERROR(__xludf.DUMMYFUNCTION("""COMPUTED_VALUE"""),"O'RALOV ABROR KOMILJON O'G'LI")</f>
        <v>O'RALOV ABROR KOMILJON O'G'LI</v>
      </c>
      <c r="D583" s="35" t="str">
        <f ca="1">IFERROR(__xludf.DUMMYFUNCTION("""COMPUTED_VALUE"""),"Контролер по учету")</f>
        <v>Контролер по учету</v>
      </c>
    </row>
    <row r="584" spans="1:4" ht="18" customHeight="1" x14ac:dyDescent="0.25">
      <c r="A584" s="33" t="str">
        <f ca="1">IFERROR(__xludf.DUMMYFUNCTION("""COMPUTED_VALUE"""),"011. Склад РМС-1")</f>
        <v>011. Склад РМС-1</v>
      </c>
      <c r="B584" s="34">
        <f ca="1">IFERROR(__xludf.DUMMYFUNCTION("""COMPUTED_VALUE"""),37762)</f>
        <v>37762</v>
      </c>
      <c r="C584" s="35" t="str">
        <f ca="1">IFERROR(__xludf.DUMMYFUNCTION("""COMPUTED_VALUE"""),"USANOV SHERZOD ISLOM O'G'LI")</f>
        <v>USANOV SHERZOD ISLOM O'G'LI</v>
      </c>
      <c r="D584" s="35" t="str">
        <f ca="1">IFERROR(__xludf.DUMMYFUNCTION("""COMPUTED_VALUE"""),"Складской работник")</f>
        <v>Складской работник</v>
      </c>
    </row>
    <row r="585" spans="1:4" ht="18" customHeight="1" x14ac:dyDescent="0.25">
      <c r="A585" s="33" t="str">
        <f ca="1">IFERROR(__xludf.DUMMYFUNCTION("""COMPUTED_VALUE"""),"011. Склад РМС-1")</f>
        <v>011. Склад РМС-1</v>
      </c>
      <c r="B585" s="34">
        <f ca="1">IFERROR(__xludf.DUMMYFUNCTION("""COMPUTED_VALUE"""),38411)</f>
        <v>38411</v>
      </c>
      <c r="C585" s="35" t="str">
        <f ca="1">IFERROR(__xludf.DUMMYFUNCTION("""COMPUTED_VALUE"""),"XUSANXO'JAYEV BEKZODXO'JA MUZAFFARXO'JA O'G'LI")</f>
        <v>XUSANXO'JAYEV BEKZODXO'JA MUZAFFARXO'JA O'G'LI</v>
      </c>
      <c r="D585" s="35" t="str">
        <f ca="1">IFERROR(__xludf.DUMMYFUNCTION("""COMPUTED_VALUE"""),"Складской работник")</f>
        <v>Складской работник</v>
      </c>
    </row>
    <row r="586" spans="1:4" ht="18" customHeight="1" x14ac:dyDescent="0.25">
      <c r="A586" s="33" t="str">
        <f ca="1">IFERROR(__xludf.DUMMYFUNCTION("""COMPUTED_VALUE"""),"011. Склад РМС-1")</f>
        <v>011. Склад РМС-1</v>
      </c>
      <c r="B586" s="34">
        <f ca="1">IFERROR(__xludf.DUMMYFUNCTION("""COMPUTED_VALUE"""),34409)</f>
        <v>34409</v>
      </c>
      <c r="C586" s="35" t="str">
        <f ca="1">IFERROR(__xludf.DUMMYFUNCTION("""COMPUTED_VALUE"""),"OYTURAYEV XAYRULLA SUNNATULLO O'G'LI")</f>
        <v>OYTURAYEV XAYRULLA SUNNATULLO O'G'LI</v>
      </c>
      <c r="D586" s="35" t="str">
        <f ca="1">IFERROR(__xludf.DUMMYFUNCTION("""COMPUTED_VALUE"""),"Грузчик")</f>
        <v>Грузчик</v>
      </c>
    </row>
    <row r="587" spans="1:4" ht="18" customHeight="1" x14ac:dyDescent="0.25">
      <c r="A587" s="33" t="str">
        <f ca="1">IFERROR(__xludf.DUMMYFUNCTION("""COMPUTED_VALUE"""),"011. Склад РМС-1")</f>
        <v>011. Склад РМС-1</v>
      </c>
      <c r="B587" s="34">
        <f ca="1">IFERROR(__xludf.DUMMYFUNCTION("""COMPUTED_VALUE"""),37151)</f>
        <v>37151</v>
      </c>
      <c r="C587" s="35" t="str">
        <f ca="1">IFERROR(__xludf.DUMMYFUNCTION("""COMPUTED_VALUE"""),"MUXSUMOV DONIYOR BAXTIYOR O'G'LI")</f>
        <v>MUXSUMOV DONIYOR BAXTIYOR O'G'LI</v>
      </c>
      <c r="D587" s="35" t="str">
        <f ca="1">IFERROR(__xludf.DUMMYFUNCTION("""COMPUTED_VALUE"""),"Грузчик")</f>
        <v>Грузчик</v>
      </c>
    </row>
    <row r="588" spans="1:4" ht="18" customHeight="1" x14ac:dyDescent="0.25">
      <c r="A588" s="33" t="str">
        <f ca="1">IFERROR(__xludf.DUMMYFUNCTION("""COMPUTED_VALUE"""),"01. Call-Center")</f>
        <v>01. Call-Center</v>
      </c>
      <c r="B588" s="34">
        <f ca="1">IFERROR(__xludf.DUMMYFUNCTION("""COMPUTED_VALUE"""),29604)</f>
        <v>29604</v>
      </c>
      <c r="C588" s="35" t="str">
        <f ca="1">IFERROR(__xludf.DUMMYFUNCTION("""COMPUTED_VALUE"""),"RAXMONKULOVA FERUZA SHAVKATOVNA")</f>
        <v>RAXMONKULOVA FERUZA SHAVKATOVNA</v>
      </c>
      <c r="D588" s="35" t="str">
        <f ca="1">IFERROR(__xludf.DUMMYFUNCTION("""COMPUTED_VALUE"""),"Начальник отдела")</f>
        <v>Начальник отдела</v>
      </c>
    </row>
    <row r="589" spans="1:4" ht="18" customHeight="1" x14ac:dyDescent="0.25">
      <c r="A589" s="33" t="str">
        <f ca="1">IFERROR(__xludf.DUMMYFUNCTION("""COMPUTED_VALUE"""),"01. Call-Center")</f>
        <v>01. Call-Center</v>
      </c>
      <c r="B589" s="34">
        <f ca="1">IFERROR(__xludf.DUMMYFUNCTION("""COMPUTED_VALUE"""),38281)</f>
        <v>38281</v>
      </c>
      <c r="C589" s="35" t="str">
        <f ca="1">IFERROR(__xludf.DUMMYFUNCTION("""COMPUTED_VALUE"""),"NE'MATOV XUMOYUNBEK BAHTIYOR O'G'LI")</f>
        <v>NE'MATOV XUMOYUNBEK BAHTIYOR O'G'LI</v>
      </c>
      <c r="D589" s="35" t="str">
        <f ca="1">IFERROR(__xludf.DUMMYFUNCTION("""COMPUTED_VALUE"""),"Оператор Call-центра")</f>
        <v>Оператор Call-центра</v>
      </c>
    </row>
    <row r="590" spans="1:4" ht="18" customHeight="1" x14ac:dyDescent="0.25">
      <c r="A590" s="33" t="str">
        <f ca="1">IFERROR(__xludf.DUMMYFUNCTION("""COMPUTED_VALUE"""),"01. Call-Center")</f>
        <v>01. Call-Center</v>
      </c>
      <c r="B590" s="34">
        <f ca="1">IFERROR(__xludf.DUMMYFUNCTION("""COMPUTED_VALUE"""),38569)</f>
        <v>38569</v>
      </c>
      <c r="C590" s="35" t="str">
        <f ca="1">IFERROR(__xludf.DUMMYFUNCTION("""COMPUTED_VALUE"""),"SOBIROVA UMIDA SOXIBJON QIZI")</f>
        <v>SOBIROVA UMIDA SOXIBJON QIZI</v>
      </c>
      <c r="D590" s="35" t="str">
        <f ca="1">IFERROR(__xludf.DUMMYFUNCTION("""COMPUTED_VALUE"""),"Оператор Call-центра")</f>
        <v>Оператор Call-центра</v>
      </c>
    </row>
    <row r="591" spans="1:4" ht="18" customHeight="1" x14ac:dyDescent="0.25">
      <c r="A591" s="33" t="str">
        <f ca="1">IFERROR(__xludf.DUMMYFUNCTION("""COMPUTED_VALUE"""),"01. Call-Center")</f>
        <v>01. Call-Center</v>
      </c>
      <c r="B591" s="34">
        <f ca="1">IFERROR(__xludf.DUMMYFUNCTION("""COMPUTED_VALUE"""),36849)</f>
        <v>36849</v>
      </c>
      <c r="C591" s="35" t="str">
        <f ca="1">IFERROR(__xludf.DUMMYFUNCTION("""COMPUTED_VALUE"""),"LI KONSTANTIN LVOVICH")</f>
        <v>LI KONSTANTIN LVOVICH</v>
      </c>
      <c r="D591" s="35" t="str">
        <f ca="1">IFERROR(__xludf.DUMMYFUNCTION("""COMPUTED_VALUE"""),"Оператор Call-центра")</f>
        <v>Оператор Call-центра</v>
      </c>
    </row>
    <row r="592" spans="1:4" ht="18" customHeight="1" x14ac:dyDescent="0.25">
      <c r="A592" s="33" t="str">
        <f ca="1">IFERROR(__xludf.DUMMYFUNCTION("""COMPUTED_VALUE"""),"01. Call-Center")</f>
        <v>01. Call-Center</v>
      </c>
      <c r="B592" s="34">
        <f ca="1">IFERROR(__xludf.DUMMYFUNCTION("""COMPUTED_VALUE"""),38667)</f>
        <v>38667</v>
      </c>
      <c r="C592" s="35" t="str">
        <f ca="1">IFERROR(__xludf.DUMMYFUNCTION("""COMPUTED_VALUE"""),"MOXAMMAD ILYOS MOXAMMAD OMAR")</f>
        <v>MOXAMMAD ILYOS MOXAMMAD OMAR</v>
      </c>
      <c r="D592" s="35" t="str">
        <f ca="1">IFERROR(__xludf.DUMMYFUNCTION("""COMPUTED_VALUE"""),"Оператор Call-центра")</f>
        <v>Оператор Call-центра</v>
      </c>
    </row>
    <row r="593" spans="1:4" ht="18" customHeight="1" x14ac:dyDescent="0.25">
      <c r="A593" s="33" t="str">
        <f ca="1">IFERROR(__xludf.DUMMYFUNCTION("""COMPUTED_VALUE"""),"01. Call-Center")</f>
        <v>01. Call-Center</v>
      </c>
      <c r="B593" s="34">
        <f ca="1">IFERROR(__xludf.DUMMYFUNCTION("""COMPUTED_VALUE"""),34875)</f>
        <v>34875</v>
      </c>
      <c r="C593" s="35" t="str">
        <f ca="1">IFERROR(__xludf.DUMMYFUNCTION("""COMPUTED_VALUE"""),"MIRZAAKBAROV ROHATALI MARIPJON O'G'LI")</f>
        <v>MIRZAAKBAROV ROHATALI MARIPJON O'G'LI</v>
      </c>
      <c r="D593" s="35" t="str">
        <f ca="1">IFERROR(__xludf.DUMMYFUNCTION("""COMPUTED_VALUE"""),"Оператор Call-центра")</f>
        <v>Оператор Call-центра</v>
      </c>
    </row>
    <row r="594" spans="1:4" ht="18" customHeight="1" x14ac:dyDescent="0.25">
      <c r="A594" s="33" t="str">
        <f ca="1">IFERROR(__xludf.DUMMYFUNCTION("""COMPUTED_VALUE"""),"01. Call-Center")</f>
        <v>01. Call-Center</v>
      </c>
      <c r="B594" s="34">
        <f ca="1">IFERROR(__xludf.DUMMYFUNCTION("""COMPUTED_VALUE"""),33961)</f>
        <v>33961</v>
      </c>
      <c r="C594" s="35" t="str">
        <f ca="1">IFERROR(__xludf.DUMMYFUNCTION("""COMPUTED_VALUE"""),"TULAGANOVA NASIBA MAXMUDJON QIZI")</f>
        <v>TULAGANOVA NASIBA MAXMUDJON QIZI</v>
      </c>
      <c r="D594" s="35" t="str">
        <f ca="1">IFERROR(__xludf.DUMMYFUNCTION("""COMPUTED_VALUE"""),"Оператор Call-центра")</f>
        <v>Оператор Call-центра</v>
      </c>
    </row>
    <row r="595" spans="1:4" ht="18" customHeight="1" x14ac:dyDescent="0.25">
      <c r="A595" s="33" t="str">
        <f ca="1">IFERROR(__xludf.DUMMYFUNCTION("""COMPUTED_VALUE"""),"01. Call-Center")</f>
        <v>01. Call-Center</v>
      </c>
      <c r="B595" s="34">
        <f ca="1">IFERROR(__xludf.DUMMYFUNCTION("""COMPUTED_VALUE"""),39329)</f>
        <v>39329</v>
      </c>
      <c r="C595" s="35" t="str">
        <f ca="1">IFERROR(__xludf.DUMMYFUNCTION("""COMPUTED_VALUE"""),"MUXTAROV XUSANXON MUZAFFAR O'G'LI")</f>
        <v>MUXTAROV XUSANXON MUZAFFAR O'G'LI</v>
      </c>
      <c r="D595" s="35" t="str">
        <f ca="1">IFERROR(__xludf.DUMMYFUNCTION("""COMPUTED_VALUE"""),"Оператор Call-центра")</f>
        <v>Оператор Call-центра</v>
      </c>
    </row>
    <row r="596" spans="1:4" ht="18" customHeight="1" x14ac:dyDescent="0.25">
      <c r="A596" s="33" t="str">
        <f ca="1">IFERROR(__xludf.DUMMYFUNCTION("""COMPUTED_VALUE"""),"01. Call-Center")</f>
        <v>01. Call-Center</v>
      </c>
      <c r="B596" s="34">
        <f ca="1">IFERROR(__xludf.DUMMYFUNCTION("""COMPUTED_VALUE"""),39442)</f>
        <v>39442</v>
      </c>
      <c r="C596" s="35" t="str">
        <f ca="1">IFERROR(__xludf.DUMMYFUNCTION("""COMPUTED_VALUE"""),"RAHIMJONOV SHOHJAHON QUDRATJON O'G'LI")</f>
        <v>RAHIMJONOV SHOHJAHON QUDRATJON O'G'LI</v>
      </c>
      <c r="D596" s="35" t="str">
        <f ca="1">IFERROR(__xludf.DUMMYFUNCTION("""COMPUTED_VALUE"""),"Оператор Call-центра")</f>
        <v>Оператор Call-центра</v>
      </c>
    </row>
    <row r="597" spans="1:4" ht="18" customHeight="1" x14ac:dyDescent="0.25">
      <c r="A597" s="33" t="str">
        <f ca="1">IFERROR(__xludf.DUMMYFUNCTION("""COMPUTED_VALUE"""),"01. Call-Center")</f>
        <v>01. Call-Center</v>
      </c>
      <c r="B597" s="34">
        <f ca="1">IFERROR(__xludf.DUMMYFUNCTION("""COMPUTED_VALUE"""),39501)</f>
        <v>39501</v>
      </c>
      <c r="C597" s="35" t="str">
        <f ca="1">IFERROR(__xludf.DUMMYFUNCTION("""COMPUTED_VALUE"""),"MAMATAZIMOV RUSTAMBEK DOSTONBEK O'G'LI")</f>
        <v>MAMATAZIMOV RUSTAMBEK DOSTONBEK O'G'LI</v>
      </c>
      <c r="D597" s="35" t="str">
        <f ca="1">IFERROR(__xludf.DUMMYFUNCTION("""COMPUTED_VALUE"""),"Оператор Call-центра")</f>
        <v>Оператор Call-центра</v>
      </c>
    </row>
    <row r="598" spans="1:4" ht="18" customHeight="1" x14ac:dyDescent="0.25">
      <c r="A598" s="33" t="str">
        <f ca="1">IFERROR(__xludf.DUMMYFUNCTION("""COMPUTED_VALUE"""),"01. Call-Center")</f>
        <v>01. Call-Center</v>
      </c>
      <c r="B598" s="34">
        <f ca="1">IFERROR(__xludf.DUMMYFUNCTION("""COMPUTED_VALUE"""),39612)</f>
        <v>39612</v>
      </c>
      <c r="C598" s="35" t="str">
        <f ca="1">IFERROR(__xludf.DUMMYFUNCTION("""COMPUTED_VALUE"""),"XOLMUXAMMADOV KAMRONBEK IBROHIM O'G'LI")</f>
        <v>XOLMUXAMMADOV KAMRONBEK IBROHIM O'G'LI</v>
      </c>
      <c r="D598" s="35" t="str">
        <f ca="1">IFERROR(__xludf.DUMMYFUNCTION("""COMPUTED_VALUE"""),"Оператор Call-центра")</f>
        <v>Оператор Call-центра</v>
      </c>
    </row>
    <row r="599" spans="1:4" ht="18" customHeight="1" x14ac:dyDescent="0.25">
      <c r="A599" s="33" t="str">
        <f ca="1">IFERROR(__xludf.DUMMYFUNCTION("""COMPUTED_VALUE"""),"01. Фин отдел")</f>
        <v>01. Фин отдел</v>
      </c>
      <c r="B599" s="34">
        <f ca="1">IFERROR(__xludf.DUMMYFUNCTION("""COMPUTED_VALUE"""),29318)</f>
        <v>29318</v>
      </c>
      <c r="C599" s="35" t="str">
        <f ca="1">IFERROR(__xludf.DUMMYFUNCTION("""COMPUTED_VALUE"""),"KIDIROV KAMOLIDDIN INOMALIYEVICH")</f>
        <v>KIDIROV KAMOLIDDIN INOMALIYEVICH</v>
      </c>
      <c r="D599" s="35" t="str">
        <f ca="1">IFERROR(__xludf.DUMMYFUNCTION("""COMPUTED_VALUE"""),"Руководитель финансового отдела")</f>
        <v>Руководитель финансового отдела</v>
      </c>
    </row>
    <row r="600" spans="1:4" ht="18" customHeight="1" x14ac:dyDescent="0.25">
      <c r="A600" s="33" t="str">
        <f ca="1">IFERROR(__xludf.DUMMYFUNCTION("""COMPUTED_VALUE"""),"01. Фин отдел")</f>
        <v>01. Фин отдел</v>
      </c>
      <c r="B600" s="34">
        <f ca="1">IFERROR(__xludf.DUMMYFUNCTION("""COMPUTED_VALUE"""),30781)</f>
        <v>30781</v>
      </c>
      <c r="C600" s="35" t="str">
        <f ca="1">IFERROR(__xludf.DUMMYFUNCTION("""COMPUTED_VALUE"""),"SULTANOVA NADEJDA RUSTEMOVNA")</f>
        <v>SULTANOVA NADEJDA RUSTEMOVNA</v>
      </c>
      <c r="D600" s="35" t="str">
        <f ca="1">IFERROR(__xludf.DUMMYFUNCTION("""COMPUTED_VALUE"""),"Финансист")</f>
        <v>Финансист</v>
      </c>
    </row>
    <row r="601" spans="1:4" ht="18" customHeight="1" x14ac:dyDescent="0.25">
      <c r="A601" s="33" t="str">
        <f ca="1">IFERROR(__xludf.DUMMYFUNCTION("""COMPUTED_VALUE"""),"01. Фин отдел")</f>
        <v>01. Фин отдел</v>
      </c>
      <c r="B601" s="34">
        <f ca="1">IFERROR(__xludf.DUMMYFUNCTION("""COMPUTED_VALUE"""),36590)</f>
        <v>36590</v>
      </c>
      <c r="C601" s="35" t="str">
        <f ca="1">IFERROR(__xludf.DUMMYFUNCTION("""COMPUTED_VALUE"""),"MARCHENKO MAKSIM MUSLIMOVICH")</f>
        <v>MARCHENKO MAKSIM MUSLIMOVICH</v>
      </c>
      <c r="D601" s="35" t="str">
        <f ca="1">IFERROR(__xludf.DUMMYFUNCTION("""COMPUTED_VALUE"""),"Финансовый аналитик")</f>
        <v>Финансовый аналитик</v>
      </c>
    </row>
    <row r="602" spans="1:4" ht="18" customHeight="1" x14ac:dyDescent="0.25">
      <c r="A602" s="33" t="str">
        <f ca="1">IFERROR(__xludf.DUMMYFUNCTION("""COMPUTED_VALUE"""),"01. Фин отдел")</f>
        <v>01. Фин отдел</v>
      </c>
      <c r="B602" s="34">
        <f ca="1">IFERROR(__xludf.DUMMYFUNCTION("""COMPUTED_VALUE"""),28923)</f>
        <v>28923</v>
      </c>
      <c r="C602" s="35" t="str">
        <f ca="1">IFERROR(__xludf.DUMMYFUNCTION("""COMPUTED_VALUE"""),"AGATELYAN LIANA VLADIMIROVNA")</f>
        <v>AGATELYAN LIANA VLADIMIROVNA</v>
      </c>
      <c r="D602" s="35" t="str">
        <f ca="1">IFERROR(__xludf.DUMMYFUNCTION("""COMPUTED_VALUE"""),"Финансист")</f>
        <v>Финансист</v>
      </c>
    </row>
    <row r="603" spans="1:4" ht="18" customHeight="1" x14ac:dyDescent="0.25">
      <c r="A603" s="33" t="str">
        <f ca="1">IFERROR(__xludf.DUMMYFUNCTION("""COMPUTED_VALUE"""),"01. Фин отдел")</f>
        <v>01. Фин отдел</v>
      </c>
      <c r="B603" s="34">
        <f ca="1">IFERROR(__xludf.DUMMYFUNCTION("""COMPUTED_VALUE"""),38123)</f>
        <v>38123</v>
      </c>
      <c r="C603" s="35" t="str">
        <f ca="1">IFERROR(__xludf.DUMMYFUNCTION("""COMPUTED_VALUE"""),"FAYZULLAYEVA SHAXRIZODA MURODOVNA")</f>
        <v>FAYZULLAYEVA SHAXRIZODA MURODOVNA</v>
      </c>
      <c r="D603" s="35" t="str">
        <f ca="1">IFERROR(__xludf.DUMMYFUNCTION("""COMPUTED_VALUE"""),"Помощник финансиста")</f>
        <v>Помощник финансиста</v>
      </c>
    </row>
    <row r="604" spans="1:4" ht="18" customHeight="1" x14ac:dyDescent="0.25">
      <c r="A604" s="33" t="str">
        <f ca="1">IFERROR(__xludf.DUMMYFUNCTION("""COMPUTED_VALUE"""),"01. Тех отдел")</f>
        <v>01. Тех отдел</v>
      </c>
      <c r="B604" s="34">
        <f ca="1">IFERROR(__xludf.DUMMYFUNCTION("""COMPUTED_VALUE"""),37477)</f>
        <v>37477</v>
      </c>
      <c r="C604" s="35" t="str">
        <f ca="1">IFERROR(__xludf.DUMMYFUNCTION("""COMPUTED_VALUE"""),"YO‘LDASHEV MUXAMMAD RIZO LOCHINBEK O‘G‘LI")</f>
        <v>YO‘LDASHEV MUXAMMAD RIZO LOCHINBEK O‘G‘LI</v>
      </c>
      <c r="D604" s="35" t="str">
        <f ca="1">IFERROR(__xludf.DUMMYFUNCTION("""COMPUTED_VALUE"""),"Техник по ремонту электротехнического оборудования")</f>
        <v>Техник по ремонту электротехнического оборудования</v>
      </c>
    </row>
    <row r="605" spans="1:4" ht="18" customHeight="1" x14ac:dyDescent="0.25">
      <c r="A605" s="33" t="str">
        <f ca="1">IFERROR(__xludf.DUMMYFUNCTION("""COMPUTED_VALUE"""),"01. Тех отдел")</f>
        <v>01. Тех отдел</v>
      </c>
      <c r="B605" s="34">
        <f ca="1">IFERROR(__xludf.DUMMYFUNCTION("""COMPUTED_VALUE"""),29202)</f>
        <v>29202</v>
      </c>
      <c r="C605" s="35" t="str">
        <f ca="1">IFERROR(__xludf.DUMMYFUNCTION("""COMPUTED_VALUE"""),"YERMALAYEV SERGEY VIKTOROVICH")</f>
        <v>YERMALAYEV SERGEY VIKTOROVICH</v>
      </c>
      <c r="D605" s="35" t="str">
        <f ca="1">IFERROR(__xludf.DUMMYFUNCTION("""COMPUTED_VALUE"""),"Техник по ремонту электротехнического оборудования")</f>
        <v>Техник по ремонту электротехнического оборудования</v>
      </c>
    </row>
    <row r="606" spans="1:4" ht="18" customHeight="1" x14ac:dyDescent="0.25">
      <c r="A606" s="33" t="str">
        <f ca="1">IFERROR(__xludf.DUMMYFUNCTION("""COMPUTED_VALUE"""),"01. Тех отдел")</f>
        <v>01. Тех отдел</v>
      </c>
      <c r="B606" s="34">
        <f ca="1">IFERROR(__xludf.DUMMYFUNCTION("""COMPUTED_VALUE"""),33634)</f>
        <v>33634</v>
      </c>
      <c r="C606" s="35" t="str">
        <f ca="1">IFERROR(__xludf.DUMMYFUNCTION("""COMPUTED_VALUE"""),"KARIMOV MIRJAMOLIDDIN XODJIAKBAR O'G'LI")</f>
        <v>KARIMOV MIRJAMOLIDDIN XODJIAKBAR O'G'LI</v>
      </c>
      <c r="D606" s="35" t="str">
        <f ca="1">IFERROR(__xludf.DUMMYFUNCTION("""COMPUTED_VALUE"""),"Техник по ремонту электротехнического оборудования")</f>
        <v>Техник по ремонту электротехнического оборудования</v>
      </c>
    </row>
    <row r="607" spans="1:4" ht="18" customHeight="1" x14ac:dyDescent="0.25">
      <c r="A607" s="33" t="str">
        <f ca="1">IFERROR(__xludf.DUMMYFUNCTION("""COMPUTED_VALUE"""),"01. Тех отдел")</f>
        <v>01. Тех отдел</v>
      </c>
      <c r="B607" s="34">
        <f ca="1">IFERROR(__xludf.DUMMYFUNCTION("""COMPUTED_VALUE"""),38478)</f>
        <v>38478</v>
      </c>
      <c r="C607" s="35" t="str">
        <f ca="1">IFERROR(__xludf.DUMMYFUNCTION("""COMPUTED_VALUE"""),"ABDULLAYEV DILMUROD ALISHER O'G'LI")</f>
        <v>ABDULLAYEV DILMUROD ALISHER O'G'LI</v>
      </c>
      <c r="D607" s="35" t="str">
        <f ca="1">IFERROR(__xludf.DUMMYFUNCTION("""COMPUTED_VALUE"""),"Техник по ремонту электротехнического оборудования")</f>
        <v>Техник по ремонту электротехнического оборудования</v>
      </c>
    </row>
    <row r="608" spans="1:4" ht="18" customHeight="1" x14ac:dyDescent="0.25">
      <c r="A608" s="33" t="str">
        <f ca="1">IFERROR(__xludf.DUMMYFUNCTION("""COMPUTED_VALUE"""),"01. Служба безопасности")</f>
        <v>01. Служба безопасности</v>
      </c>
      <c r="B608" s="34">
        <f ca="1">IFERROR(__xludf.DUMMYFUNCTION("""COMPUTED_VALUE"""),27258)</f>
        <v>27258</v>
      </c>
      <c r="C608" s="35" t="str">
        <f ca="1">IFERROR(__xludf.DUMMYFUNCTION("""COMPUTED_VALUE"""),"SHAMURADOV MUROD FAYZULLAYEVICH")</f>
        <v>SHAMURADOV MUROD FAYZULLAYEVICH</v>
      </c>
      <c r="D608" s="35" t="str">
        <f ca="1">IFERROR(__xludf.DUMMYFUNCTION("""COMPUTED_VALUE"""),"Руководитель отдела видеонаблюдении")</f>
        <v>Руководитель отдела видеонаблюдении</v>
      </c>
    </row>
    <row r="609" spans="1:4" ht="18" customHeight="1" x14ac:dyDescent="0.25">
      <c r="A609" s="33" t="str">
        <f ca="1">IFERROR(__xludf.DUMMYFUNCTION("""COMPUTED_VALUE"""),"01. Служба безопасности")</f>
        <v>01. Служба безопасности</v>
      </c>
      <c r="B609" s="34">
        <f ca="1">IFERROR(__xludf.DUMMYFUNCTION("""COMPUTED_VALUE"""),28685)</f>
        <v>28685</v>
      </c>
      <c r="C609" s="35" t="str">
        <f ca="1">IFERROR(__xludf.DUMMYFUNCTION("""COMPUTED_VALUE"""),"UMBETOV BATIR IGAMBERDIYEVICH")</f>
        <v>UMBETOV BATIR IGAMBERDIYEVICH</v>
      </c>
      <c r="D609" s="35" t="str">
        <f ca="1">IFERROR(__xludf.DUMMYFUNCTION("""COMPUTED_VALUE"""),"Оператор видеонаблюдения")</f>
        <v>Оператор видеонаблюдения</v>
      </c>
    </row>
    <row r="610" spans="1:4" ht="18" customHeight="1" x14ac:dyDescent="0.25">
      <c r="A610" s="33" t="str">
        <f ca="1">IFERROR(__xludf.DUMMYFUNCTION("""COMPUTED_VALUE"""),"01. Служба безопасности")</f>
        <v>01. Служба безопасности</v>
      </c>
      <c r="B610" s="34">
        <f ca="1">IFERROR(__xludf.DUMMYFUNCTION("""COMPUTED_VALUE"""),28685)</f>
        <v>28685</v>
      </c>
      <c r="C610" s="35" t="str">
        <f ca="1">IFERROR(__xludf.DUMMYFUNCTION("""COMPUTED_VALUE"""),"UMBETOV MIRZABEK EGAMBERDIYEVICH")</f>
        <v>UMBETOV MIRZABEK EGAMBERDIYEVICH</v>
      </c>
      <c r="D610" s="35" t="str">
        <f ca="1">IFERROR(__xludf.DUMMYFUNCTION("""COMPUTED_VALUE"""),"Оператор видеонаблюдения")</f>
        <v>Оператор видеонаблюдения</v>
      </c>
    </row>
    <row r="611" spans="1:4" ht="18" customHeight="1" x14ac:dyDescent="0.25">
      <c r="A611" s="33" t="str">
        <f ca="1">IFERROR(__xludf.DUMMYFUNCTION("""COMPUTED_VALUE"""),"01. Служба безопасности")</f>
        <v>01. Служба безопасности</v>
      </c>
      <c r="B611" s="34">
        <f ca="1">IFERROR(__xludf.DUMMYFUNCTION("""COMPUTED_VALUE"""),35324)</f>
        <v>35324</v>
      </c>
      <c r="C611" s="35" t="str">
        <f ca="1">IFERROR(__xludf.DUMMYFUNCTION("""COMPUTED_VALUE"""),"PARDAYEV MUXRIDDIN XAYRULLO O'G'LI")</f>
        <v>PARDAYEV MUXRIDDIN XAYRULLO O'G'LI</v>
      </c>
      <c r="D611" s="35" t="str">
        <f ca="1">IFERROR(__xludf.DUMMYFUNCTION("""COMPUTED_VALUE"""),"Оператор видеонаблюдения")</f>
        <v>Оператор видеонаблюдения</v>
      </c>
    </row>
    <row r="612" spans="1:4" ht="18" customHeight="1" x14ac:dyDescent="0.25">
      <c r="A612" s="33" t="str">
        <f ca="1">IFERROR(__xludf.DUMMYFUNCTION("""COMPUTED_VALUE"""),"01. Служба безопасности")</f>
        <v>01. Служба безопасности</v>
      </c>
      <c r="B612" s="34">
        <f ca="1">IFERROR(__xludf.DUMMYFUNCTION("""COMPUTED_VALUE"""),36936)</f>
        <v>36936</v>
      </c>
      <c r="C612" s="35" t="str">
        <f ca="1">IFERROR(__xludf.DUMMYFUNCTION("""COMPUTED_VALUE"""),"NAZAROV DALERBEK AKRAM O'G'LI")</f>
        <v>NAZAROV DALERBEK AKRAM O'G'LI</v>
      </c>
      <c r="D612" s="35" t="str">
        <f ca="1">IFERROR(__xludf.DUMMYFUNCTION("""COMPUTED_VALUE"""),"Оператор видеонаблюдения")</f>
        <v>Оператор видеонаблюдения</v>
      </c>
    </row>
    <row r="613" spans="1:4" ht="18" customHeight="1" x14ac:dyDescent="0.25">
      <c r="A613" s="33" t="str">
        <f ca="1">IFERROR(__xludf.DUMMYFUNCTION("""COMPUTED_VALUE"""),"01. Служба безопасности")</f>
        <v>01. Служба безопасности</v>
      </c>
      <c r="B613" s="34">
        <f ca="1">IFERROR(__xludf.DUMMYFUNCTION("""COMPUTED_VALUE"""),38426)</f>
        <v>38426</v>
      </c>
      <c r="C613" s="35" t="str">
        <f ca="1">IFERROR(__xludf.DUMMYFUNCTION("""COMPUTED_VALUE"""),"SHARIFOV SHERZOD DILMUROD O'G'LI")</f>
        <v>SHARIFOV SHERZOD DILMUROD O'G'LI</v>
      </c>
      <c r="D613" s="35" t="str">
        <f ca="1">IFERROR(__xludf.DUMMYFUNCTION("""COMPUTED_VALUE"""),"Оператор видеонаблюдения")</f>
        <v>Оператор видеонаблюдения</v>
      </c>
    </row>
    <row r="614" spans="1:4" ht="18" customHeight="1" x14ac:dyDescent="0.25">
      <c r="A614" s="33" t="str">
        <f ca="1">IFERROR(__xludf.DUMMYFUNCTION("""COMPUTED_VALUE"""),"01. Служба безопасности")</f>
        <v>01. Служба безопасности</v>
      </c>
      <c r="B614" s="34">
        <f ca="1">IFERROR(__xludf.DUMMYFUNCTION("""COMPUTED_VALUE"""),37665)</f>
        <v>37665</v>
      </c>
      <c r="C614" s="35" t="str">
        <f ca="1">IFERROR(__xludf.DUMMYFUNCTION("""COMPUTED_VALUE"""),"NABIJONOV HOSILBEK MUXAMMADJON O'G'LI")</f>
        <v>NABIJONOV HOSILBEK MUXAMMADJON O'G'LI</v>
      </c>
      <c r="D614" s="35" t="str">
        <f ca="1">IFERROR(__xludf.DUMMYFUNCTION("""COMPUTED_VALUE"""),"Оператор видеонаблюдения")</f>
        <v>Оператор видеонаблюдения</v>
      </c>
    </row>
    <row r="615" spans="1:4" ht="18" customHeight="1" x14ac:dyDescent="0.25">
      <c r="A615" s="33" t="str">
        <f ca="1">IFERROR(__xludf.DUMMYFUNCTION("""COMPUTED_VALUE"""),"01. Руководство")</f>
        <v>01. Руководство</v>
      </c>
      <c r="B615" s="34"/>
      <c r="C615" s="35" t="str">
        <f ca="1">IFERROR(__xludf.DUMMYFUNCTION("""COMPUTED_VALUE"""),"ABDULLAYEV OLIMJON GAFURJANOVICH")</f>
        <v>ABDULLAYEV OLIMJON GAFURJANOVICH</v>
      </c>
      <c r="D615" s="35" t="str">
        <f ca="1">IFERROR(__xludf.DUMMYFUNCTION("""COMPUTED_VALUE"""),"Учредитель")</f>
        <v>Учредитель</v>
      </c>
    </row>
    <row r="616" spans="1:4" ht="18" customHeight="1" x14ac:dyDescent="0.25">
      <c r="A616" s="33" t="str">
        <f ca="1">IFERROR(__xludf.DUMMYFUNCTION("""COMPUTED_VALUE"""),"01. Руководство")</f>
        <v>01. Руководство</v>
      </c>
      <c r="B616" s="34"/>
      <c r="C616" s="35" t="str">
        <f ca="1">IFERROR(__xludf.DUMMYFUNCTION("""COMPUTED_VALUE"""),"ABDULLAYEVA NAZIRA NARIMAN QIZI")</f>
        <v>ABDULLAYEVA NAZIRA NARIMAN QIZI</v>
      </c>
      <c r="D616" s="35" t="str">
        <f ca="1">IFERROR(__xludf.DUMMYFUNCTION("""COMPUTED_VALUE"""),"Директор")</f>
        <v>Директор</v>
      </c>
    </row>
    <row r="617" spans="1:4" ht="18" customHeight="1" x14ac:dyDescent="0.25">
      <c r="A617" s="33" t="str">
        <f ca="1">IFERROR(__xludf.DUMMYFUNCTION("""COMPUTED_VALUE"""),"01. Руководство")</f>
        <v>01. Руководство</v>
      </c>
      <c r="B617" s="34">
        <f ca="1">IFERROR(__xludf.DUMMYFUNCTION("""COMPUTED_VALUE"""),31459)</f>
        <v>31459</v>
      </c>
      <c r="C617" s="35" t="str">
        <f ca="1">IFERROR(__xludf.DUMMYFUNCTION("""COMPUTED_VALUE"""),"PUNTUS DENIS")</f>
        <v>PUNTUS DENIS</v>
      </c>
      <c r="D617" s="35" t="str">
        <f ca="1">IFERROR(__xludf.DUMMYFUNCTION("""COMPUTED_VALUE"""),"Заместитель операционного директора")</f>
        <v>Заместитель операционного директора</v>
      </c>
    </row>
    <row r="618" spans="1:4" ht="18" customHeight="1" x14ac:dyDescent="0.25">
      <c r="A618" s="33" t="str">
        <f ca="1">IFERROR(__xludf.DUMMYFUNCTION("""COMPUTED_VALUE"""),"01. Руководство")</f>
        <v>01. Руководство</v>
      </c>
      <c r="B618" s="34"/>
      <c r="C618" s="35" t="str">
        <f ca="1">IFERROR(__xludf.DUMMYFUNCTION("""COMPUTED_VALUE"""),"ISMAILOV SARDOR AXROLOVICH")</f>
        <v>ISMAILOV SARDOR AXROLOVICH</v>
      </c>
      <c r="D618" s="35" t="str">
        <f ca="1">IFERROR(__xludf.DUMMYFUNCTION("""COMPUTED_VALUE"""),"Директор")</f>
        <v>Директор</v>
      </c>
    </row>
    <row r="619" spans="1:4" ht="18" customHeight="1" x14ac:dyDescent="0.25">
      <c r="A619" s="33" t="str">
        <f ca="1">IFERROR(__xludf.DUMMYFUNCTION("""COMPUTED_VALUE"""),"01. Руководство")</f>
        <v>01. Руководство</v>
      </c>
      <c r="B619" s="34"/>
      <c r="C619" s="35" t="str">
        <f ca="1">IFERROR(__xludf.DUMMYFUNCTION("""COMPUTED_VALUE"""),"MAMARAIMOV JAXONGIR USMANOVICH")</f>
        <v>MAMARAIMOV JAXONGIR USMANOVICH</v>
      </c>
      <c r="D619" s="35"/>
    </row>
    <row r="620" spans="1:4" ht="18" customHeight="1" x14ac:dyDescent="0.25">
      <c r="A620" s="33" t="str">
        <f ca="1">IFERROR(__xludf.DUMMYFUNCTION("""COMPUTED_VALUE"""),"01. Отдел кадров")</f>
        <v>01. Отдел кадров</v>
      </c>
      <c r="B620" s="34">
        <f ca="1">IFERROR(__xludf.DUMMYFUNCTION("""COMPUTED_VALUE"""),29388)</f>
        <v>29388</v>
      </c>
      <c r="C620" s="35" t="str">
        <f ca="1">IFERROR(__xludf.DUMMYFUNCTION("""COMPUTED_VALUE"""),"ARIPOVA ZILOLA JABBARKULOVNA")</f>
        <v>ARIPOVA ZILOLA JABBARKULOVNA</v>
      </c>
      <c r="D620" s="35" t="str">
        <f ca="1">IFERROR(__xludf.DUMMYFUNCTION("""COMPUTED_VALUE"""),"HR специалист")</f>
        <v>HR специалист</v>
      </c>
    </row>
    <row r="621" spans="1:4" ht="18" customHeight="1" x14ac:dyDescent="0.25">
      <c r="A621" s="33" t="str">
        <f ca="1">IFERROR(__xludf.DUMMYFUNCTION("""COMPUTED_VALUE"""),"01. Отдел кадров")</f>
        <v>01. Отдел кадров</v>
      </c>
      <c r="B621" s="34">
        <f ca="1">IFERROR(__xludf.DUMMYFUNCTION("""COMPUTED_VALUE"""),29770)</f>
        <v>29770</v>
      </c>
      <c r="C621" s="35" t="str">
        <f ca="1">IFERROR(__xludf.DUMMYFUNCTION("""COMPUTED_VALUE"""),"SAYDAZIMOVA NILUFARXON RAXIMOVNA")</f>
        <v>SAYDAZIMOVA NILUFARXON RAXIMOVNA</v>
      </c>
      <c r="D621" s="35" t="str">
        <f ca="1">IFERROR(__xludf.DUMMYFUNCTION("""COMPUTED_VALUE"""),"HR специалист")</f>
        <v>HR специалист</v>
      </c>
    </row>
    <row r="622" spans="1:4" ht="18" customHeight="1" x14ac:dyDescent="0.25">
      <c r="A622" s="33" t="str">
        <f ca="1">IFERROR(__xludf.DUMMYFUNCTION("""COMPUTED_VALUE"""),"01. Отдел кадров")</f>
        <v>01. Отдел кадров</v>
      </c>
      <c r="B622" s="34">
        <f ca="1">IFERROR(__xludf.DUMMYFUNCTION("""COMPUTED_VALUE"""),38318)</f>
        <v>38318</v>
      </c>
      <c r="C622" s="35" t="str">
        <f ca="1">IFERROR(__xludf.DUMMYFUNCTION("""COMPUTED_VALUE"""),"YUNUSOV MANSURXO‘JA MAXSUDXO‘JA O‘G‘LI")</f>
        <v>YUNUSOV MANSURXO‘JA MAXSUDXO‘JA O‘G‘LI</v>
      </c>
      <c r="D622" s="35" t="str">
        <f ca="1">IFERROR(__xludf.DUMMYFUNCTION("""COMPUTED_VALUE"""),"Мобилограф")</f>
        <v>Мобилограф</v>
      </c>
    </row>
    <row r="623" spans="1:4" ht="18" customHeight="1" x14ac:dyDescent="0.25">
      <c r="A623" s="33" t="str">
        <f ca="1">IFERROR(__xludf.DUMMYFUNCTION("""COMPUTED_VALUE"""),"01. Отдел кадров")</f>
        <v>01. Отдел кадров</v>
      </c>
      <c r="B623" s="34">
        <f ca="1">IFERROR(__xludf.DUMMYFUNCTION("""COMPUTED_VALUE"""),35613)</f>
        <v>35613</v>
      </c>
      <c r="C623" s="35" t="str">
        <f ca="1">IFERROR(__xludf.DUMMYFUNCTION("""COMPUTED_VALUE"""),"ABDUG'AFUROVA MUNISXON AZAMAT QIZI")</f>
        <v>ABDUG'AFUROVA MUNISXON AZAMAT QIZI</v>
      </c>
      <c r="D623" s="35" t="str">
        <f ca="1">IFERROR(__xludf.DUMMYFUNCTION("""COMPUTED_VALUE"""),"HR менеджер")</f>
        <v>HR менеджер</v>
      </c>
    </row>
    <row r="624" spans="1:4" ht="18" customHeight="1" x14ac:dyDescent="0.25">
      <c r="A624" s="33" t="str">
        <f ca="1">IFERROR(__xludf.DUMMYFUNCTION("""COMPUTED_VALUE"""),"01. Отдел кадров")</f>
        <v>01. Отдел кадров</v>
      </c>
      <c r="B624" s="34">
        <f ca="1">IFERROR(__xludf.DUMMYFUNCTION("""COMPUTED_VALUE"""),35656)</f>
        <v>35656</v>
      </c>
      <c r="C624" s="35" t="str">
        <f ca="1">IFERROR(__xludf.DUMMYFUNCTION("""COMPUTED_VALUE"""),"KARIMOV DONIYORBEK ISMOILJON O'G'LI")</f>
        <v>KARIMOV DONIYORBEK ISMOILJON O'G'LI</v>
      </c>
      <c r="D624" s="35" t="str">
        <f ca="1">IFERROR(__xludf.DUMMYFUNCTION("""COMPUTED_VALUE"""),"Графический дизайнер")</f>
        <v>Графический дизайнер</v>
      </c>
    </row>
    <row r="625" spans="1:4" ht="18" customHeight="1" x14ac:dyDescent="0.25">
      <c r="A625" s="33" t="str">
        <f ca="1">IFERROR(__xludf.DUMMYFUNCTION("""COMPUTED_VALUE"""),"01. Отдел кадров")</f>
        <v>01. Отдел кадров</v>
      </c>
      <c r="B625" s="34">
        <f ca="1">IFERROR(__xludf.DUMMYFUNCTION("""COMPUTED_VALUE"""),38277)</f>
        <v>38277</v>
      </c>
      <c r="C625" s="35" t="str">
        <f ca="1">IFERROR(__xludf.DUMMYFUNCTION("""COMPUTED_VALUE"""),"KAROMOVA DILAFRUZ DILSHOD QIZI")</f>
        <v>KAROMOVA DILAFRUZ DILSHOD QIZI</v>
      </c>
      <c r="D625" s="35" t="str">
        <f ca="1">IFERROR(__xludf.DUMMYFUNCTION("""COMPUTED_VALUE"""),"HR специалист")</f>
        <v>HR специалист</v>
      </c>
    </row>
    <row r="626" spans="1:4" ht="18" customHeight="1" x14ac:dyDescent="0.25">
      <c r="A626" s="33" t="str">
        <f ca="1">IFERROR(__xludf.DUMMYFUNCTION("""COMPUTED_VALUE"""),"01. Отдел бухгалтерии")</f>
        <v>01. Отдел бухгалтерии</v>
      </c>
      <c r="B626" s="34">
        <f ca="1">IFERROR(__xludf.DUMMYFUNCTION("""COMPUTED_VALUE"""),27328)</f>
        <v>27328</v>
      </c>
      <c r="C626" s="35" t="str">
        <f ca="1">IFERROR(__xludf.DUMMYFUNCTION("""COMPUTED_VALUE"""),"SHAXABOVA GUZAL SABIROVNA")</f>
        <v>SHAXABOVA GUZAL SABIROVNA</v>
      </c>
      <c r="D626" s="35" t="str">
        <f ca="1">IFERROR(__xludf.DUMMYFUNCTION("""COMPUTED_VALUE"""),"Бухгалтер")</f>
        <v>Бухгалтер</v>
      </c>
    </row>
    <row r="627" spans="1:4" ht="18" customHeight="1" x14ac:dyDescent="0.25">
      <c r="A627" s="33" t="str">
        <f ca="1">IFERROR(__xludf.DUMMYFUNCTION("""COMPUTED_VALUE"""),"01. Маркетинг")</f>
        <v>01. Маркетинг</v>
      </c>
      <c r="B627" s="34"/>
      <c r="C627" s="35" t="str">
        <f ca="1">IFERROR(__xludf.DUMMYFUNCTION("""COMPUTED_VALUE"""),"TIMBEKOVA DJAMILYA DJAVDATOVNA")</f>
        <v>TIMBEKOVA DJAMILYA DJAVDATOVNA</v>
      </c>
      <c r="D627" s="35"/>
    </row>
    <row r="628" spans="1:4" ht="18" customHeight="1" x14ac:dyDescent="0.25">
      <c r="A628" s="33" t="str">
        <f ca="1">IFERROR(__xludf.DUMMYFUNCTION("""COMPUTED_VALUE"""),"01. Контроль качество")</f>
        <v>01. Контроль качество</v>
      </c>
      <c r="B628" s="34">
        <f ca="1">IFERROR(__xludf.DUMMYFUNCTION("""COMPUTED_VALUE"""),34656)</f>
        <v>34656</v>
      </c>
      <c r="C628" s="35" t="str">
        <f ca="1">IFERROR(__xludf.DUMMYFUNCTION("""COMPUTED_VALUE"""),"NABIYEV JALOLIDDIN ZAYNIYDIN O'G'LI")</f>
        <v>NABIYEV JALOLIDDIN ZAYNIYDIN O'G'LI</v>
      </c>
      <c r="D628" s="35" t="str">
        <f ca="1">IFERROR(__xludf.DUMMYFUNCTION("""COMPUTED_VALUE"""),"Специалист контроля качества и стандартов")</f>
        <v>Специалист контроля качества и стандартов</v>
      </c>
    </row>
    <row r="629" spans="1:4" ht="18" customHeight="1" x14ac:dyDescent="0.25">
      <c r="A629" s="33" t="str">
        <f ca="1">IFERROR(__xludf.DUMMYFUNCTION("""COMPUTED_VALUE"""),"01. Контроль качество")</f>
        <v>01. Контроль качество</v>
      </c>
      <c r="B629" s="34">
        <f ca="1">IFERROR(__xludf.DUMMYFUNCTION("""COMPUTED_VALUE"""),34912)</f>
        <v>34912</v>
      </c>
      <c r="C629" s="35" t="str">
        <f ca="1">IFERROR(__xludf.DUMMYFUNCTION("""COMPUTED_VALUE"""),"XAITOV NAZARBEK AZAMATOVICH")</f>
        <v>XAITOV NAZARBEK AZAMATOVICH</v>
      </c>
      <c r="D629" s="35" t="str">
        <f ca="1">IFERROR(__xludf.DUMMYFUNCTION("""COMPUTED_VALUE"""),"Менеджер по операционным стандартам и развитию")</f>
        <v>Менеджер по операционным стандартам и развитию</v>
      </c>
    </row>
    <row r="630" spans="1:4" ht="18" customHeight="1" x14ac:dyDescent="0.25">
      <c r="A630" s="33" t="str">
        <f ca="1">IFERROR(__xludf.DUMMYFUNCTION("""COMPUTED_VALUE"""),"01. Контроль качество")</f>
        <v>01. Контроль качество</v>
      </c>
      <c r="B630" s="34">
        <f ca="1">IFERROR(__xludf.DUMMYFUNCTION("""COMPUTED_VALUE"""),34187)</f>
        <v>34187</v>
      </c>
      <c r="C630" s="35" t="str">
        <f ca="1">IFERROR(__xludf.DUMMYFUNCTION("""COMPUTED_VALUE"""),"XAKIMOV BEKZOD ERKIN O'G'LI")</f>
        <v>XAKIMOV BEKZOD ERKIN O'G'LI</v>
      </c>
      <c r="D630" s="35" t="str">
        <f ca="1">IFERROR(__xludf.DUMMYFUNCTION("""COMPUTED_VALUE"""),"Специалист контроля качества и стандартов")</f>
        <v>Специалист контроля качества и стандартов</v>
      </c>
    </row>
    <row r="631" spans="1:4" ht="18" customHeight="1" x14ac:dyDescent="0.25">
      <c r="A631" s="33" t="str">
        <f ca="1">IFERROR(__xludf.DUMMYFUNCTION("""COMPUTED_VALUE"""),"01. Контроль качество")</f>
        <v>01. Контроль качество</v>
      </c>
      <c r="B631" s="34">
        <f ca="1">IFERROR(__xludf.DUMMYFUNCTION("""COMPUTED_VALUE"""),33876)</f>
        <v>33876</v>
      </c>
      <c r="C631" s="35" t="str">
        <f ca="1">IFERROR(__xludf.DUMMYFUNCTION("""COMPUTED_VALUE"""),"ALIMOV BAXROM ISLOM O'G'LI")</f>
        <v>ALIMOV BAXROM ISLOM O'G'LI</v>
      </c>
      <c r="D631" s="35" t="str">
        <f ca="1">IFERROR(__xludf.DUMMYFUNCTION("""COMPUTED_VALUE"""),"Специалист контроля качества и стандартов")</f>
        <v>Специалист контроля качества и стандартов</v>
      </c>
    </row>
    <row r="632" spans="1:4" ht="18" customHeight="1" x14ac:dyDescent="0.25">
      <c r="A632" s="33" t="str">
        <f ca="1">IFERROR(__xludf.DUMMYFUNCTION("""COMPUTED_VALUE"""),"01. Контроль качество")</f>
        <v>01. Контроль качество</v>
      </c>
      <c r="B632" s="34">
        <f ca="1">IFERROR(__xludf.DUMMYFUNCTION("""COMPUTED_VALUE"""),37201)</f>
        <v>37201</v>
      </c>
      <c r="C632" s="35" t="str">
        <f ca="1">IFERROR(__xludf.DUMMYFUNCTION("""COMPUTED_VALUE"""),"SAYLIYEV FAZLIDDIN IKROMOVICH")</f>
        <v>SAYLIYEV FAZLIDDIN IKROMOVICH</v>
      </c>
      <c r="D632" s="35" t="str">
        <f ca="1">IFERROR(__xludf.DUMMYFUNCTION("""COMPUTED_VALUE"""),"Территориальный управляющий")</f>
        <v>Территориальный управляющий</v>
      </c>
    </row>
    <row r="633" spans="1:4" ht="18" customHeight="1" x14ac:dyDescent="0.25">
      <c r="A633" s="33" t="str">
        <f ca="1">IFERROR(__xludf.DUMMYFUNCTION("""COMPUTED_VALUE"""),"01. Контроль качество")</f>
        <v>01. Контроль качество</v>
      </c>
      <c r="B633" s="34">
        <f ca="1">IFERROR(__xludf.DUMMYFUNCTION("""COMPUTED_VALUE"""),35376)</f>
        <v>35376</v>
      </c>
      <c r="C633" s="35" t="str">
        <f ca="1">IFERROR(__xludf.DUMMYFUNCTION("""COMPUTED_VALUE"""),"SHAMATOV JASURBEK PO'LAT O'G'LI")</f>
        <v>SHAMATOV JASURBEK PO'LAT O'G'LI</v>
      </c>
      <c r="D633" s="35" t="str">
        <f ca="1">IFERROR(__xludf.DUMMYFUNCTION("""COMPUTED_VALUE"""),"Территориальный управляющий")</f>
        <v>Территориальный управляющий</v>
      </c>
    </row>
    <row r="634" spans="1:4" ht="18" customHeight="1" x14ac:dyDescent="0.25">
      <c r="A634" s="33" t="str">
        <f ca="1">IFERROR(__xludf.DUMMYFUNCTION("""COMPUTED_VALUE"""),"01. Контроль качество")</f>
        <v>01. Контроль качество</v>
      </c>
      <c r="B634" s="34">
        <f ca="1">IFERROR(__xludf.DUMMYFUNCTION("""COMPUTED_VALUE"""),37412)</f>
        <v>37412</v>
      </c>
      <c r="C634" s="35" t="str">
        <f ca="1">IFERROR(__xludf.DUMMYFUNCTION("""COMPUTED_VALUE"""),"IBROXIMOV ABDULAZIZ XUSNITDIN O'G'LI")</f>
        <v>IBROXIMOV ABDULAZIZ XUSNITDIN O'G'LI</v>
      </c>
      <c r="D634" s="35" t="str">
        <f ca="1">IFERROR(__xludf.DUMMYFUNCTION("""COMPUTED_VALUE"""),"Специалист контроля качества и стандартов")</f>
        <v>Специалист контроля качества и стандартов</v>
      </c>
    </row>
    <row r="635" spans="1:4" ht="18" customHeight="1" x14ac:dyDescent="0.25">
      <c r="A635" s="33" t="str">
        <f ca="1">IFERROR(__xludf.DUMMYFUNCTION("""COMPUTED_VALUE"""),"01. Водиталь")</f>
        <v>01. Водиталь</v>
      </c>
      <c r="B635" s="34">
        <f ca="1">IFERROR(__xludf.DUMMYFUNCTION("""COMPUTED_VALUE"""),31329)</f>
        <v>31329</v>
      </c>
      <c r="C635" s="35" t="str">
        <f ca="1">IFERROR(__xludf.DUMMYFUNCTION("""COMPUTED_VALUE"""),"YUSUPALIYEV DILMUROD GAFIROVICH")</f>
        <v>YUSUPALIYEV DILMUROD GAFIROVICH</v>
      </c>
      <c r="D635" s="35" t="str">
        <f ca="1">IFERROR(__xludf.DUMMYFUNCTION("""COMPUTED_VALUE"""),"Водитель")</f>
        <v>Водитель</v>
      </c>
    </row>
    <row r="636" spans="1:4" ht="18" customHeight="1" x14ac:dyDescent="0.25">
      <c r="A636" s="33" t="str">
        <f ca="1">IFERROR(__xludf.DUMMYFUNCTION("""COMPUTED_VALUE"""),"01. Водиталь")</f>
        <v>01. Водиталь</v>
      </c>
      <c r="B636" s="34">
        <f ca="1">IFERROR(__xludf.DUMMYFUNCTION("""COMPUTED_VALUE"""),29893)</f>
        <v>29893</v>
      </c>
      <c r="C636" s="35" t="str">
        <f ca="1">IFERROR(__xludf.DUMMYFUNCTION("""COMPUTED_VALUE"""),"MUXAMEDOV XISLAT TURAXODJAYEVICH")</f>
        <v>MUXAMEDOV XISLAT TURAXODJAYEVICH</v>
      </c>
      <c r="D636" s="35" t="str">
        <f ca="1">IFERROR(__xludf.DUMMYFUNCTION("""COMPUTED_VALUE"""),"Водитель")</f>
        <v>Водитель</v>
      </c>
    </row>
    <row r="637" spans="1:4" ht="18" customHeight="1" x14ac:dyDescent="0.25">
      <c r="A637" s="33" t="str">
        <f ca="1">IFERROR(__xludf.DUMMYFUNCTION("""COMPUTED_VALUE"""),"01. Водиталь")</f>
        <v>01. Водиталь</v>
      </c>
      <c r="B637" s="34">
        <f ca="1">IFERROR(__xludf.DUMMYFUNCTION("""COMPUTED_VALUE"""),26835)</f>
        <v>26835</v>
      </c>
      <c r="C637" s="35" t="str">
        <f ca="1">IFERROR(__xludf.DUMMYFUNCTION("""COMPUTED_VALUE"""),"SAGATOV DILSHOD O'TKUROVICH")</f>
        <v>SAGATOV DILSHOD O'TKUROVICH</v>
      </c>
      <c r="D637" s="35" t="str">
        <f ca="1">IFERROR(__xludf.DUMMYFUNCTION("""COMPUTED_VALUE"""),"Водитель")</f>
        <v>Водитель</v>
      </c>
    </row>
    <row r="638" spans="1:4" ht="18" customHeight="1" x14ac:dyDescent="0.25">
      <c r="A638" s="33" t="str">
        <f ca="1">IFERROR(__xludf.DUMMYFUNCTION("""COMPUTED_VALUE"""),"01. Водиталь")</f>
        <v>01. Водиталь</v>
      </c>
      <c r="B638" s="34">
        <f ca="1">IFERROR(__xludf.DUMMYFUNCTION("""COMPUTED_VALUE"""),35343)</f>
        <v>35343</v>
      </c>
      <c r="C638" s="35" t="str">
        <f ca="1">IFERROR(__xludf.DUMMYFUNCTION("""COMPUTED_VALUE"""),"SHOKIROV SARDOR SHOVKAT O'G'LI")</f>
        <v>SHOKIROV SARDOR SHOVKAT O'G'LI</v>
      </c>
      <c r="D638" s="35" t="str">
        <f ca="1">IFERROR(__xludf.DUMMYFUNCTION("""COMPUTED_VALUE"""),"Водитель")</f>
        <v>Водитель</v>
      </c>
    </row>
    <row r="639" spans="1:4" ht="18" customHeight="1" x14ac:dyDescent="0.25">
      <c r="A639" s="33" t="str">
        <f ca="1">IFERROR(__xludf.DUMMYFUNCTION("""COMPUTED_VALUE"""),"")</f>
        <v/>
      </c>
      <c r="B639" s="34" t="str">
        <f ca="1">IFERROR(__xludf.DUMMYFUNCTION("""COMPUTED_VALUE"""),"")</f>
        <v/>
      </c>
      <c r="C639" s="35" t="str">
        <f ca="1">IFERROR(__xludf.DUMMYFUNCTION("""COMPUTED_VALUE"""),"")</f>
        <v/>
      </c>
      <c r="D639" s="35"/>
    </row>
    <row r="640" spans="1:4" ht="18" customHeight="1" x14ac:dyDescent="0.25">
      <c r="A640" s="33" t="str">
        <f ca="1">IFERROR(__xludf.DUMMYFUNCTION("""COMPUTED_VALUE"""),"")</f>
        <v/>
      </c>
      <c r="B640" s="34" t="str">
        <f ca="1">IFERROR(__xludf.DUMMYFUNCTION("""COMPUTED_VALUE"""),"")</f>
        <v/>
      </c>
      <c r="C640" s="35" t="str">
        <f ca="1">IFERROR(__xludf.DUMMYFUNCTION("""COMPUTED_VALUE"""),"")</f>
        <v/>
      </c>
      <c r="D640" s="35"/>
    </row>
    <row r="641" spans="1:4" ht="18" customHeight="1" x14ac:dyDescent="0.25">
      <c r="A641" s="37" t="str">
        <f ca="1">IFERROR(__xludf.DUMMYFUNCTION("""COMPUTED_VALUE"""),"")</f>
        <v/>
      </c>
      <c r="B641" s="34" t="str">
        <f ca="1">IFERROR(__xludf.DUMMYFUNCTION("""COMPUTED_VALUE"""),"")</f>
        <v/>
      </c>
      <c r="C641" s="35" t="str">
        <f ca="1">IFERROR(__xludf.DUMMYFUNCTION("""COMPUTED_VALUE"""),"")</f>
        <v/>
      </c>
      <c r="D641" s="35"/>
    </row>
    <row r="642" spans="1:4" ht="18" customHeight="1" x14ac:dyDescent="0.25">
      <c r="A642" s="33" t="str">
        <f ca="1">IFERROR(__xludf.DUMMYFUNCTION("""COMPUTED_VALUE"""),"")</f>
        <v/>
      </c>
      <c r="B642" s="34" t="str">
        <f ca="1">IFERROR(__xludf.DUMMYFUNCTION("""COMPUTED_VALUE"""),"")</f>
        <v/>
      </c>
      <c r="C642" s="35" t="str">
        <f ca="1">IFERROR(__xludf.DUMMYFUNCTION("""COMPUTED_VALUE"""),"")</f>
        <v/>
      </c>
      <c r="D642" s="35"/>
    </row>
    <row r="643" spans="1:4" ht="18" customHeight="1" x14ac:dyDescent="0.25">
      <c r="A643" s="33" t="str">
        <f ca="1">IFERROR(__xludf.DUMMYFUNCTION("""COMPUTED_VALUE"""),"")</f>
        <v/>
      </c>
      <c r="B643" s="34" t="str">
        <f ca="1">IFERROR(__xludf.DUMMYFUNCTION("""COMPUTED_VALUE"""),"")</f>
        <v/>
      </c>
      <c r="C643" s="35" t="str">
        <f ca="1">IFERROR(__xludf.DUMMYFUNCTION("""COMPUTED_VALUE"""),"")</f>
        <v/>
      </c>
      <c r="D643" s="35"/>
    </row>
    <row r="644" spans="1:4" ht="18" customHeight="1" x14ac:dyDescent="0.25">
      <c r="A644" s="33" t="str">
        <f ca="1">IFERROR(__xludf.DUMMYFUNCTION("""COMPUTED_VALUE"""),"")</f>
        <v/>
      </c>
      <c r="B644" s="34" t="str">
        <f ca="1">IFERROR(__xludf.DUMMYFUNCTION("""COMPUTED_VALUE"""),"")</f>
        <v/>
      </c>
      <c r="C644" s="35" t="str">
        <f ca="1">IFERROR(__xludf.DUMMYFUNCTION("""COMPUTED_VALUE"""),"")</f>
        <v/>
      </c>
      <c r="D644" s="35"/>
    </row>
    <row r="645" spans="1:4" ht="18" customHeight="1" x14ac:dyDescent="0.25">
      <c r="A645" s="33" t="str">
        <f ca="1">IFERROR(__xludf.DUMMYFUNCTION("""COMPUTED_VALUE"""),"")</f>
        <v/>
      </c>
      <c r="B645" s="34" t="str">
        <f ca="1">IFERROR(__xludf.DUMMYFUNCTION("""COMPUTED_VALUE"""),"")</f>
        <v/>
      </c>
      <c r="C645" s="35" t="str">
        <f ca="1">IFERROR(__xludf.DUMMYFUNCTION("""COMPUTED_VALUE"""),"")</f>
        <v/>
      </c>
      <c r="D645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646" spans="1:4" ht="18" customHeight="1" x14ac:dyDescent="0.25">
      <c r="A646" s="33" t="str">
        <f ca="1">IFERROR(__xludf.DUMMYFUNCTION("""COMPUTED_VALUE"""),"")</f>
        <v/>
      </c>
      <c r="B646" s="34">
        <f ca="1">IFERROR(__xludf.DUMMYFUNCTION("""COMPUTED_VALUE"""),27443)</f>
        <v>27443</v>
      </c>
      <c r="C646" s="35" t="str">
        <f ca="1">IFERROR(__xludf.DUMMYFUNCTION("""COMPUTED_VALUE"""),"FAYZULLAYEVA FERUZA MUQUMOVNA")</f>
        <v>FAYZULLAYEVA FERUZA MUQUMOVNA</v>
      </c>
      <c r="D646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647" spans="1:4" ht="18" customHeight="1" x14ac:dyDescent="0.25">
      <c r="A647" s="33"/>
      <c r="B647" s="34" t="str">
        <f ca="1">IFERROR(__xludf.DUMMYFUNCTION("""COMPUTED_VALUE"""),"")</f>
        <v/>
      </c>
      <c r="C647" s="35" t="str">
        <f ca="1">IFERROR(__xludf.DUMMYFUNCTION("""COMPUTED_VALUE"""),"")</f>
        <v/>
      </c>
      <c r="D647" s="35"/>
    </row>
    <row r="648" spans="1:4" ht="18" customHeight="1" x14ac:dyDescent="0.25">
      <c r="A648" s="33"/>
      <c r="B648" s="34">
        <f ca="1">IFERROR(__xludf.DUMMYFUNCTION("""COMPUTED_VALUE"""),38871)</f>
        <v>38871</v>
      </c>
      <c r="C648" s="35" t="str">
        <f ca="1">IFERROR(__xludf.DUMMYFUNCTION("""COMPUTED_VALUE"""),"MUHAMMADOV MO'MINJON QOBILJON O'G'LI")</f>
        <v>MUHAMMADOV MO'MINJON QOBILJON O'G'LI</v>
      </c>
      <c r="D648" s="35" t="str">
        <f ca="1">IFERROR(__xludf.DUMMYFUNCTION("""COMPUTED_VALUE"""),"Младший пиццерист")</f>
        <v>Младший пиццерист</v>
      </c>
    </row>
    <row r="649" spans="1:4" ht="18" customHeight="1" x14ac:dyDescent="0.25">
      <c r="A649" s="33"/>
      <c r="B649" s="34">
        <f ca="1">IFERROR(__xludf.DUMMYFUNCTION("""COMPUTED_VALUE"""),38579)</f>
        <v>38579</v>
      </c>
      <c r="C649" s="35" t="str">
        <f ca="1">IFERROR(__xludf.DUMMYFUNCTION("""COMPUTED_VALUE"""),"AZATOV SAMANDAR BAXTIYOR O'G'LI")</f>
        <v>AZATOV SAMANDAR BAXTIYOR O'G'LI</v>
      </c>
      <c r="D649" s="35" t="str">
        <f ca="1">IFERROR(__xludf.DUMMYFUNCTION("""COMPUTED_VALUE"""),"Стажер повар WOK")</f>
        <v>Стажер повар WOK</v>
      </c>
    </row>
    <row r="650" spans="1:4" ht="18" customHeight="1" x14ac:dyDescent="0.25">
      <c r="A650" s="33"/>
      <c r="B650" s="34">
        <f ca="1">IFERROR(__xludf.DUMMYFUNCTION("""COMPUTED_VALUE"""),38504)</f>
        <v>38504</v>
      </c>
      <c r="C650" s="35" t="str">
        <f ca="1">IFERROR(__xludf.DUMMYFUNCTION("""COMPUTED_VALUE"""),"O'RAZALIYEV SHAHRIYOR XUSNIDDIN O'G'LI")</f>
        <v>O'RAZALIYEV SHAHRIYOR XUSNIDDIN O'G'LI</v>
      </c>
      <c r="D650" s="35" t="str">
        <f ca="1">IFERROR(__xludf.DUMMYFUNCTION("""COMPUTED_VALUE"""),"Стажер повар WOK")</f>
        <v>Стажер повар WOK</v>
      </c>
    </row>
    <row r="651" spans="1:4" ht="18" customHeight="1" x14ac:dyDescent="0.25">
      <c r="A651" s="33"/>
      <c r="B651" s="34">
        <f ca="1">IFERROR(__xludf.DUMMYFUNCTION("""COMPUTED_VALUE"""),38802)</f>
        <v>38802</v>
      </c>
      <c r="C651" s="35" t="str">
        <f ca="1">IFERROR(__xludf.DUMMYFUNCTION("""COMPUTED_VALUE"""),"XUDOYBERDIYEV AKBARSHOH SHAXRATJON O'G'LI")</f>
        <v>XUDOYBERDIYEV AKBARSHOH SHAXRATJON O'G'LI</v>
      </c>
      <c r="D651" s="35" t="str">
        <f ca="1">IFERROR(__xludf.DUMMYFUNCTION("""COMPUTED_VALUE"""),"Младший пиццерист")</f>
        <v>Младший пиццерист</v>
      </c>
    </row>
    <row r="652" spans="1:4" ht="18" customHeight="1" x14ac:dyDescent="0.25">
      <c r="A652" s="33"/>
      <c r="B652" s="34">
        <f ca="1">IFERROR(__xludf.DUMMYFUNCTION("""COMPUTED_VALUE"""),38633)</f>
        <v>38633</v>
      </c>
      <c r="C652" s="35" t="str">
        <f ca="1">IFERROR(__xludf.DUMMYFUNCTION("""COMPUTED_VALUE"""),"MAXMUDOV ZIYOVUDDIN MUZAFFAR O'G'LI")</f>
        <v>MAXMUDOV ZIYOVUDDIN MUZAFFAR O'G'LI</v>
      </c>
      <c r="D652" s="35" t="str">
        <f ca="1">IFERROR(__xludf.DUMMYFUNCTION("""COMPUTED_VALUE"""),"Стажер повар WOK")</f>
        <v>Стажер повар WOK</v>
      </c>
    </row>
    <row r="653" spans="1:4" ht="18" customHeight="1" x14ac:dyDescent="0.25">
      <c r="A653" s="33"/>
      <c r="B653" s="34">
        <f ca="1">IFERROR(__xludf.DUMMYFUNCTION("""COMPUTED_VALUE"""),38174)</f>
        <v>38174</v>
      </c>
      <c r="C653" s="35" t="str">
        <f ca="1">IFERROR(__xludf.DUMMYFUNCTION("""COMPUTED_VALUE"""),"NAZAROVA SEVINCH RUSTAM QIZI")</f>
        <v>NAZAROVA SEVINCH RUSTAM QIZI</v>
      </c>
      <c r="D653" s="35" t="str">
        <f ca="1">IFERROR(__xludf.DUMMYFUNCTION("""COMPUTED_VALUE"""),"Стажер первoй линии")</f>
        <v>Стажер первoй линии</v>
      </c>
    </row>
    <row r="654" spans="1:4" ht="18" customHeight="1" x14ac:dyDescent="0.25">
      <c r="A654" s="33"/>
      <c r="B654" s="34">
        <f ca="1">IFERROR(__xludf.DUMMYFUNCTION("""COMPUTED_VALUE"""),39364)</f>
        <v>39364</v>
      </c>
      <c r="C654" s="35" t="str">
        <f ca="1">IFERROR(__xludf.DUMMYFUNCTION("""COMPUTED_VALUE"""),"UBAYDULLAYEV ZOHIRSHOH INOMJON O'G'LI")</f>
        <v>UBAYDULLAYEV ZOHIRSHOH INOMJON O'G'LI</v>
      </c>
      <c r="D654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655" spans="1:4" ht="18" customHeight="1" x14ac:dyDescent="0.25">
      <c r="A655" s="33"/>
      <c r="B655" s="34">
        <f ca="1">IFERROR(__xludf.DUMMYFUNCTION("""COMPUTED_VALUE"""),39133)</f>
        <v>39133</v>
      </c>
      <c r="C655" s="35" t="str">
        <f ca="1">IFERROR(__xludf.DUMMYFUNCTION("""COMPUTED_VALUE"""),"JUMABOYEVA AMINA MADRAXIM QIZI")</f>
        <v>JUMABOYEVA AMINA MADRAXIM QIZI</v>
      </c>
      <c r="D655" s="35" t="str">
        <f ca="1">IFERROR(__xludf.DUMMYFUNCTION("""COMPUTED_VALUE"""),"Стажер первoй линии")</f>
        <v>Стажер первoй линии</v>
      </c>
    </row>
    <row r="656" spans="1:4" ht="18" customHeight="1" x14ac:dyDescent="0.25">
      <c r="A656" s="33"/>
      <c r="B656" s="34">
        <f ca="1">IFERROR(__xludf.DUMMYFUNCTION("""COMPUTED_VALUE"""),32287)</f>
        <v>32287</v>
      </c>
      <c r="C656" s="35" t="str">
        <f ca="1">IFERROR(__xludf.DUMMYFUNCTION("""COMPUTED_VALUE"""),"XUSHVAQOVA NIGORA UKTAMOVNA")</f>
        <v>XUSHVAQOVA NIGORA UKTAMOVNA</v>
      </c>
      <c r="D656" s="35" t="str">
        <f ca="1">IFERROR(__xludf.DUMMYFUNCTION("""COMPUTED_VALUE"""),"Стажер рабочий кухни (Техничка, мойка)")</f>
        <v>Стажер рабочий кухни (Техничка, мойка)</v>
      </c>
    </row>
    <row r="657" spans="1:4" ht="18" customHeight="1" x14ac:dyDescent="0.25">
      <c r="A657" s="33"/>
      <c r="B657" s="34">
        <f ca="1">IFERROR(__xludf.DUMMYFUNCTION("""COMPUTED_VALUE"""),39532)</f>
        <v>39532</v>
      </c>
      <c r="C657" s="35" t="str">
        <f ca="1">IFERROR(__xludf.DUMMYFUNCTION("""COMPUTED_VALUE"""),"MADIYOROV AKBARBEK QUDRAT O'GLI")</f>
        <v>MADIYOROV AKBARBEK QUDRAT O'GLI</v>
      </c>
      <c r="D657" s="35" t="str">
        <f ca="1">IFERROR(__xludf.DUMMYFUNCTION("""COMPUTED_VALUE"""),"Младший пиццерист")</f>
        <v>Младший пиццерист</v>
      </c>
    </row>
    <row r="658" spans="1:4" ht="18" customHeight="1" x14ac:dyDescent="0.25">
      <c r="A658" s="33"/>
      <c r="B658" s="34">
        <f ca="1">IFERROR(__xludf.DUMMYFUNCTION("""COMPUTED_VALUE"""),39112)</f>
        <v>39112</v>
      </c>
      <c r="C658" s="35" t="str">
        <f ca="1">IFERROR(__xludf.DUMMYFUNCTION("""COMPUTED_VALUE"""),"ASKAROVA SABRINA SALAUAT QIZI")</f>
        <v>ASKAROVA SABRINA SALAUAT QIZI</v>
      </c>
      <c r="D658" s="35" t="str">
        <f ca="1">IFERROR(__xludf.DUMMYFUNCTION("""COMPUTED_VALUE"""),"Стажер первoй линии")</f>
        <v>Стажер первoй линии</v>
      </c>
    </row>
    <row r="659" spans="1:4" ht="18" customHeight="1" x14ac:dyDescent="0.25">
      <c r="A659" s="33"/>
      <c r="B659" s="34">
        <f ca="1">IFERROR(__xludf.DUMMYFUNCTION("""COMPUTED_VALUE"""),37044)</f>
        <v>37044</v>
      </c>
      <c r="C659" s="35" t="str">
        <f ca="1">IFERROR(__xludf.DUMMYFUNCTION("""COMPUTED_VALUE"""),"ERGASHEVA SHOHIDA SHAVKAT QIZI")</f>
        <v>ERGASHEVA SHOHIDA SHAVKAT QIZI</v>
      </c>
      <c r="D659" s="35" t="str">
        <f ca="1">IFERROR(__xludf.DUMMYFUNCTION("""COMPUTED_VALUE"""),"Стажер первoй линии")</f>
        <v>Стажер первoй линии</v>
      </c>
    </row>
    <row r="660" spans="1:4" ht="18" customHeight="1" x14ac:dyDescent="0.25">
      <c r="A660" s="33"/>
      <c r="B660" s="34"/>
      <c r="C660" s="35"/>
      <c r="D660" s="35"/>
    </row>
    <row r="661" spans="1:4" ht="18" customHeight="1" x14ac:dyDescent="0.25">
      <c r="A661" s="33"/>
      <c r="B661" s="34"/>
      <c r="C661" s="35"/>
      <c r="D661" s="35"/>
    </row>
    <row r="662" spans="1:4" ht="18" customHeight="1" x14ac:dyDescent="0.25">
      <c r="A662" s="33"/>
      <c r="B662" s="34"/>
      <c r="C662" s="35"/>
      <c r="D662" s="35"/>
    </row>
    <row r="663" spans="1:4" ht="18" customHeight="1" x14ac:dyDescent="0.25">
      <c r="A663" s="33"/>
      <c r="B663" s="34"/>
      <c r="C663" s="35"/>
      <c r="D663" s="35"/>
    </row>
    <row r="664" spans="1:4" ht="18" customHeight="1" x14ac:dyDescent="0.25">
      <c r="A664" s="33"/>
      <c r="B664" s="34"/>
      <c r="C664" s="35"/>
      <c r="D664" s="35"/>
    </row>
    <row r="665" spans="1:4" ht="18" customHeight="1" x14ac:dyDescent="0.25">
      <c r="A665" s="33"/>
      <c r="B665" s="34"/>
      <c r="C665" s="35"/>
      <c r="D665" s="35"/>
    </row>
    <row r="666" spans="1:4" ht="18" customHeight="1" x14ac:dyDescent="0.25">
      <c r="A666" s="33"/>
      <c r="B666" s="34"/>
      <c r="C666" s="35"/>
      <c r="D666" s="35"/>
    </row>
    <row r="667" spans="1:4" ht="18" customHeight="1" x14ac:dyDescent="0.25">
      <c r="A667" s="33"/>
      <c r="B667" s="34"/>
      <c r="C667" s="35"/>
      <c r="D667" s="35"/>
    </row>
    <row r="668" spans="1:4" ht="18" customHeight="1" x14ac:dyDescent="0.25">
      <c r="A668" s="33"/>
      <c r="B668" s="34"/>
      <c r="C668" s="35"/>
      <c r="D668" s="35"/>
    </row>
    <row r="669" spans="1:4" ht="18" customHeight="1" x14ac:dyDescent="0.25">
      <c r="A669" s="33"/>
      <c r="B669" s="34"/>
      <c r="C669" s="35"/>
      <c r="D669" s="35"/>
    </row>
    <row r="670" spans="1:4" ht="18" customHeight="1" x14ac:dyDescent="0.25">
      <c r="A670" s="33"/>
      <c r="B670" s="34"/>
      <c r="C670" s="35"/>
      <c r="D670" s="35"/>
    </row>
    <row r="671" spans="1:4" ht="18" customHeight="1" x14ac:dyDescent="0.25">
      <c r="A671" s="33"/>
      <c r="B671" s="34"/>
      <c r="C671" s="35"/>
      <c r="D671" s="35"/>
    </row>
    <row r="672" spans="1:4" ht="18" customHeight="1" x14ac:dyDescent="0.25">
      <c r="A672" s="33"/>
      <c r="B672" s="34"/>
      <c r="C672" s="35"/>
      <c r="D672" s="35"/>
    </row>
    <row r="673" spans="1:4" ht="18" customHeight="1" x14ac:dyDescent="0.25">
      <c r="A673" s="33"/>
      <c r="B673" s="34"/>
      <c r="C673" s="35"/>
      <c r="D673" s="35"/>
    </row>
    <row r="674" spans="1:4" ht="18" customHeight="1" x14ac:dyDescent="0.25">
      <c r="A674" s="33"/>
      <c r="B674" s="34"/>
      <c r="C674" s="35"/>
      <c r="D674" s="35"/>
    </row>
    <row r="675" spans="1:4" ht="18" customHeight="1" x14ac:dyDescent="0.25">
      <c r="A675" s="33"/>
      <c r="B675" s="34"/>
      <c r="C675" s="35"/>
      <c r="D675" s="35"/>
    </row>
    <row r="676" spans="1:4" ht="18" customHeight="1" x14ac:dyDescent="0.25">
      <c r="A676" s="33"/>
      <c r="B676" s="34"/>
      <c r="C676" s="35"/>
      <c r="D676" s="35"/>
    </row>
    <row r="677" spans="1:4" ht="18" customHeight="1" x14ac:dyDescent="0.25">
      <c r="A677" s="33"/>
      <c r="B677" s="34"/>
      <c r="C677" s="35"/>
      <c r="D677" s="35"/>
    </row>
    <row r="678" spans="1:4" ht="18" customHeight="1" x14ac:dyDescent="0.25">
      <c r="A678" s="33"/>
      <c r="B678" s="34"/>
      <c r="C678" s="35"/>
      <c r="D678" s="35"/>
    </row>
    <row r="679" spans="1:4" ht="18" customHeight="1" x14ac:dyDescent="0.25">
      <c r="A679" s="33"/>
      <c r="B679" s="34"/>
      <c r="C679" s="35"/>
      <c r="D679" s="35"/>
    </row>
    <row r="680" spans="1:4" ht="18" customHeight="1" x14ac:dyDescent="0.25">
      <c r="A680" s="33"/>
      <c r="B680" s="34"/>
      <c r="C680" s="35"/>
      <c r="D680" s="35"/>
    </row>
    <row r="681" spans="1:4" ht="18" customHeight="1" x14ac:dyDescent="0.25">
      <c r="A681" s="33"/>
      <c r="B681" s="34"/>
      <c r="C681" s="35"/>
      <c r="D681" s="35"/>
    </row>
    <row r="682" spans="1:4" ht="18" customHeight="1" x14ac:dyDescent="0.25">
      <c r="A682" s="33"/>
      <c r="B682" s="34"/>
      <c r="C682" s="35"/>
      <c r="D682" s="35"/>
    </row>
    <row r="683" spans="1:4" ht="18" customHeight="1" x14ac:dyDescent="0.25">
      <c r="A683" s="33"/>
      <c r="B683" s="34"/>
      <c r="C683" s="35"/>
      <c r="D683" s="35"/>
    </row>
    <row r="684" spans="1:4" ht="18" customHeight="1" x14ac:dyDescent="0.25">
      <c r="A684" s="33"/>
      <c r="B684" s="34"/>
      <c r="C684" s="35"/>
      <c r="D684" s="35"/>
    </row>
    <row r="685" spans="1:4" ht="18" customHeight="1" x14ac:dyDescent="0.25">
      <c r="A685" s="33"/>
      <c r="B685" s="34"/>
      <c r="C685" s="35"/>
      <c r="D685" s="35"/>
    </row>
    <row r="686" spans="1:4" ht="18" customHeight="1" x14ac:dyDescent="0.25">
      <c r="A686" s="33"/>
      <c r="B686" s="34"/>
      <c r="C686" s="35"/>
      <c r="D686" s="35"/>
    </row>
    <row r="687" spans="1:4" ht="18" customHeight="1" x14ac:dyDescent="0.25">
      <c r="A687" s="33"/>
      <c r="B687" s="34"/>
      <c r="C687" s="35"/>
      <c r="D687" s="35"/>
    </row>
    <row r="688" spans="1:4" ht="18" customHeight="1" x14ac:dyDescent="0.25">
      <c r="A688" s="33"/>
      <c r="B688" s="34"/>
      <c r="C688" s="35"/>
      <c r="D688" s="35"/>
    </row>
    <row r="689" spans="1:4" ht="18" customHeight="1" x14ac:dyDescent="0.25">
      <c r="A689" s="33"/>
      <c r="B689" s="34"/>
      <c r="C689" s="35"/>
      <c r="D689" s="35"/>
    </row>
    <row r="690" spans="1:4" ht="18" customHeight="1" x14ac:dyDescent="0.25">
      <c r="A690" s="33"/>
      <c r="B690" s="34"/>
      <c r="C690" s="35"/>
      <c r="D690" s="35"/>
    </row>
    <row r="691" spans="1:4" ht="18" customHeight="1" x14ac:dyDescent="0.25">
      <c r="A691" s="33"/>
      <c r="B691" s="34"/>
      <c r="C691" s="35"/>
      <c r="D691" s="35"/>
    </row>
    <row r="692" spans="1:4" ht="18" customHeight="1" x14ac:dyDescent="0.25">
      <c r="A692" s="33"/>
      <c r="B692" s="34"/>
      <c r="C692" s="35"/>
      <c r="D692" s="35"/>
    </row>
    <row r="693" spans="1:4" ht="18" customHeight="1" x14ac:dyDescent="0.25">
      <c r="A693" s="33"/>
      <c r="B693" s="34"/>
      <c r="C693" s="35"/>
      <c r="D693" s="35"/>
    </row>
    <row r="694" spans="1:4" ht="18" customHeight="1" x14ac:dyDescent="0.25">
      <c r="A694" s="33"/>
      <c r="B694" s="34"/>
      <c r="C694" s="35"/>
      <c r="D694" s="35"/>
    </row>
    <row r="695" spans="1:4" ht="18" customHeight="1" x14ac:dyDescent="0.25">
      <c r="A695" s="33"/>
      <c r="B695" s="34"/>
      <c r="C695" s="35"/>
      <c r="D695" s="35"/>
    </row>
    <row r="696" spans="1:4" ht="18" customHeight="1" x14ac:dyDescent="0.25">
      <c r="A696" s="33"/>
      <c r="B696" s="34"/>
      <c r="C696" s="35"/>
      <c r="D696" s="35"/>
    </row>
    <row r="697" spans="1:4" ht="18" customHeight="1" x14ac:dyDescent="0.25">
      <c r="A697" s="33"/>
      <c r="B697" s="34"/>
      <c r="C697" s="35"/>
      <c r="D697" s="35"/>
    </row>
    <row r="698" spans="1:4" ht="18" customHeight="1" x14ac:dyDescent="0.25">
      <c r="A698" s="33"/>
      <c r="B698" s="34"/>
      <c r="C698" s="35"/>
      <c r="D698" s="35"/>
    </row>
    <row r="699" spans="1:4" ht="18" customHeight="1" x14ac:dyDescent="0.25">
      <c r="A699" s="33"/>
      <c r="B699" s="34"/>
      <c r="C699" s="35"/>
      <c r="D699" s="35"/>
    </row>
    <row r="700" spans="1:4" ht="18" customHeight="1" x14ac:dyDescent="0.25">
      <c r="A700" s="33"/>
      <c r="B700" s="34"/>
      <c r="C700" s="35"/>
      <c r="D700" s="35"/>
    </row>
    <row r="701" spans="1:4" ht="18" customHeight="1" x14ac:dyDescent="0.25">
      <c r="A701" s="33"/>
      <c r="B701" s="34"/>
      <c r="C701" s="35"/>
      <c r="D701" s="35"/>
    </row>
    <row r="702" spans="1:4" ht="18" customHeight="1" x14ac:dyDescent="0.25">
      <c r="A702" s="33"/>
      <c r="B702" s="34"/>
      <c r="C702" s="35"/>
      <c r="D702" s="35"/>
    </row>
    <row r="703" spans="1:4" ht="18" customHeight="1" x14ac:dyDescent="0.25">
      <c r="A703" s="33"/>
      <c r="B703" s="34"/>
      <c r="C703" s="35"/>
      <c r="D703" s="35"/>
    </row>
    <row r="704" spans="1:4" ht="18" customHeight="1" x14ac:dyDescent="0.25">
      <c r="A704" s="33"/>
      <c r="B704" s="34"/>
      <c r="C704" s="35"/>
      <c r="D704" s="35"/>
    </row>
    <row r="705" spans="1:4" ht="18" customHeight="1" x14ac:dyDescent="0.25">
      <c r="A705" s="33"/>
      <c r="B705" s="34"/>
      <c r="C705" s="35"/>
      <c r="D705" s="35"/>
    </row>
    <row r="706" spans="1:4" ht="18" customHeight="1" x14ac:dyDescent="0.25">
      <c r="A706" s="33"/>
      <c r="B706" s="34"/>
      <c r="C706" s="35"/>
      <c r="D706" s="35"/>
    </row>
    <row r="707" spans="1:4" ht="18" customHeight="1" x14ac:dyDescent="0.25">
      <c r="A707" s="33"/>
      <c r="B707" s="34"/>
      <c r="C707" s="35"/>
      <c r="D707" s="35"/>
    </row>
    <row r="708" spans="1:4" ht="18" customHeight="1" x14ac:dyDescent="0.25">
      <c r="A708" s="33"/>
      <c r="B708" s="34"/>
      <c r="C708" s="35"/>
      <c r="D708" s="35"/>
    </row>
    <row r="709" spans="1:4" ht="18" customHeight="1" x14ac:dyDescent="0.25">
      <c r="A709" s="33"/>
      <c r="B709" s="34"/>
      <c r="C709" s="35"/>
      <c r="D709" s="35"/>
    </row>
    <row r="710" spans="1:4" ht="18" customHeight="1" x14ac:dyDescent="0.25">
      <c r="A710" s="33"/>
      <c r="B710" s="34"/>
      <c r="C710" s="35"/>
      <c r="D710" s="35"/>
    </row>
    <row r="711" spans="1:4" ht="18" customHeight="1" x14ac:dyDescent="0.25">
      <c r="A711" s="33"/>
      <c r="B711" s="34"/>
      <c r="C711" s="35"/>
      <c r="D711" s="35"/>
    </row>
    <row r="712" spans="1:4" ht="18" customHeight="1" x14ac:dyDescent="0.25">
      <c r="A712" s="33"/>
      <c r="B712" s="34"/>
      <c r="C712" s="35"/>
      <c r="D712" s="35"/>
    </row>
    <row r="713" spans="1:4" ht="18" customHeight="1" x14ac:dyDescent="0.25">
      <c r="A713" s="33"/>
      <c r="B713" s="34"/>
      <c r="C713" s="35"/>
      <c r="D713" s="35"/>
    </row>
    <row r="714" spans="1:4" ht="18" customHeight="1" x14ac:dyDescent="0.25">
      <c r="A714" s="33"/>
      <c r="B714" s="34"/>
      <c r="C714" s="35"/>
      <c r="D714" s="35"/>
    </row>
    <row r="715" spans="1:4" ht="18" customHeight="1" x14ac:dyDescent="0.25">
      <c r="A715" s="33"/>
      <c r="B715" s="34"/>
      <c r="C715" s="35"/>
      <c r="D715" s="35"/>
    </row>
    <row r="716" spans="1:4" ht="18" customHeight="1" x14ac:dyDescent="0.25">
      <c r="A716" s="33"/>
      <c r="B716" s="34"/>
      <c r="C716" s="35"/>
      <c r="D716" s="35"/>
    </row>
    <row r="717" spans="1:4" ht="18" customHeight="1" x14ac:dyDescent="0.25">
      <c r="A717" s="33"/>
      <c r="B717" s="34"/>
      <c r="C717" s="35"/>
      <c r="D717" s="35"/>
    </row>
    <row r="718" spans="1:4" ht="18" customHeight="1" x14ac:dyDescent="0.25">
      <c r="A718" s="33"/>
      <c r="B718" s="34"/>
      <c r="C718" s="35"/>
      <c r="D718" s="35"/>
    </row>
    <row r="719" spans="1:4" ht="18" customHeight="1" x14ac:dyDescent="0.25">
      <c r="A719" s="33"/>
      <c r="B719" s="34"/>
      <c r="C719" s="35"/>
      <c r="D719" s="35"/>
    </row>
    <row r="720" spans="1:4" ht="18" customHeight="1" x14ac:dyDescent="0.25">
      <c r="A720" s="33"/>
      <c r="B720" s="34"/>
      <c r="C720" s="35"/>
      <c r="D720" s="35"/>
    </row>
    <row r="721" spans="1:4" ht="18" customHeight="1" x14ac:dyDescent="0.25">
      <c r="A721" s="33"/>
      <c r="B721" s="34"/>
      <c r="C721" s="35"/>
      <c r="D721" s="35"/>
    </row>
    <row r="722" spans="1:4" ht="18" customHeight="1" x14ac:dyDescent="0.25">
      <c r="A722" s="33"/>
      <c r="B722" s="34"/>
      <c r="C722" s="35"/>
      <c r="D722" s="35"/>
    </row>
    <row r="723" spans="1:4" ht="18" customHeight="1" x14ac:dyDescent="0.25">
      <c r="A723" s="33"/>
      <c r="B723" s="34"/>
      <c r="C723" s="35"/>
      <c r="D723" s="35"/>
    </row>
    <row r="724" spans="1:4" ht="18" customHeight="1" x14ac:dyDescent="0.25">
      <c r="A724" s="33"/>
      <c r="B724" s="34"/>
      <c r="C724" s="35"/>
      <c r="D724" s="35"/>
    </row>
    <row r="725" spans="1:4" ht="18" customHeight="1" x14ac:dyDescent="0.25">
      <c r="A725" s="33"/>
      <c r="B725" s="34"/>
      <c r="C725" s="35"/>
      <c r="D725" s="35"/>
    </row>
    <row r="726" spans="1:4" ht="18" customHeight="1" x14ac:dyDescent="0.25">
      <c r="A726" s="33"/>
      <c r="B726" s="34"/>
      <c r="C726" s="35"/>
      <c r="D726" s="35"/>
    </row>
    <row r="727" spans="1:4" ht="18" customHeight="1" x14ac:dyDescent="0.25">
      <c r="A727" s="33"/>
      <c r="B727" s="34"/>
      <c r="C727" s="35"/>
      <c r="D727" s="35"/>
    </row>
    <row r="728" spans="1:4" ht="18" customHeight="1" x14ac:dyDescent="0.25">
      <c r="A728" s="33"/>
      <c r="B728" s="34"/>
      <c r="C728" s="35"/>
      <c r="D728" s="35"/>
    </row>
    <row r="729" spans="1:4" ht="18" customHeight="1" x14ac:dyDescent="0.25">
      <c r="A729" s="33"/>
      <c r="B729" s="34"/>
      <c r="C729" s="35"/>
      <c r="D729" s="35"/>
    </row>
    <row r="730" spans="1:4" ht="18" customHeight="1" x14ac:dyDescent="0.25">
      <c r="A730" s="33"/>
      <c r="B730" s="34"/>
      <c r="C730" s="35"/>
      <c r="D730" s="35"/>
    </row>
    <row r="731" spans="1:4" ht="18" customHeight="1" x14ac:dyDescent="0.25">
      <c r="A731" s="33"/>
      <c r="B731" s="34"/>
      <c r="C731" s="35"/>
      <c r="D731" s="35"/>
    </row>
    <row r="732" spans="1:4" ht="18" customHeight="1" x14ac:dyDescent="0.25">
      <c r="A732" s="33"/>
      <c r="B732" s="34"/>
      <c r="C732" s="35"/>
      <c r="D732" s="35"/>
    </row>
    <row r="733" spans="1:4" ht="18" customHeight="1" x14ac:dyDescent="0.25">
      <c r="A733" s="33"/>
      <c r="B733" s="34"/>
      <c r="C733" s="35"/>
      <c r="D733" s="35"/>
    </row>
    <row r="734" spans="1:4" ht="18" customHeight="1" x14ac:dyDescent="0.25">
      <c r="A734" s="33"/>
      <c r="B734" s="34"/>
      <c r="C734" s="35"/>
      <c r="D734" s="35"/>
    </row>
    <row r="735" spans="1:4" ht="18" customHeight="1" x14ac:dyDescent="0.25">
      <c r="A735" s="33"/>
      <c r="B735" s="34"/>
      <c r="C735" s="35"/>
      <c r="D735" s="35"/>
    </row>
    <row r="736" spans="1:4" ht="18" customHeight="1" x14ac:dyDescent="0.25">
      <c r="A736" s="33"/>
      <c r="B736" s="34"/>
      <c r="C736" s="35"/>
      <c r="D736" s="35"/>
    </row>
    <row r="737" spans="1:4" ht="18" customHeight="1" x14ac:dyDescent="0.25">
      <c r="A737" s="33"/>
      <c r="B737" s="34"/>
      <c r="C737" s="35"/>
      <c r="D737" s="35"/>
    </row>
    <row r="738" spans="1:4" ht="18" customHeight="1" x14ac:dyDescent="0.25">
      <c r="A738" s="33"/>
      <c r="B738" s="34"/>
      <c r="C738" s="35"/>
      <c r="D738" s="35"/>
    </row>
    <row r="739" spans="1:4" ht="18" customHeight="1" x14ac:dyDescent="0.25">
      <c r="A739" s="33"/>
      <c r="B739" s="34"/>
      <c r="C739" s="35"/>
      <c r="D739" s="35"/>
    </row>
    <row r="740" spans="1:4" ht="18" customHeight="1" x14ac:dyDescent="0.25">
      <c r="A740" s="33"/>
      <c r="B740" s="34"/>
      <c r="C740" s="35"/>
      <c r="D740" s="35"/>
    </row>
    <row r="741" spans="1:4" ht="18" customHeight="1" x14ac:dyDescent="0.25">
      <c r="A741" s="33"/>
      <c r="B741" s="34"/>
      <c r="C741" s="35"/>
      <c r="D741" s="35"/>
    </row>
    <row r="742" spans="1:4" ht="18" customHeight="1" x14ac:dyDescent="0.25">
      <c r="A742" s="33"/>
      <c r="B742" s="34"/>
      <c r="C742" s="35"/>
      <c r="D742" s="35"/>
    </row>
    <row r="743" spans="1:4" ht="18" customHeight="1" x14ac:dyDescent="0.25">
      <c r="A743" s="33"/>
      <c r="B743" s="34"/>
      <c r="C743" s="35"/>
      <c r="D743" s="35"/>
    </row>
    <row r="744" spans="1:4" ht="18" customHeight="1" x14ac:dyDescent="0.25">
      <c r="A744" s="33"/>
      <c r="B744" s="34"/>
      <c r="C744" s="35"/>
      <c r="D744" s="35"/>
    </row>
    <row r="745" spans="1:4" ht="18" customHeight="1" x14ac:dyDescent="0.25">
      <c r="A745" s="33"/>
      <c r="B745" s="34"/>
      <c r="C745" s="35"/>
      <c r="D745" s="35"/>
    </row>
    <row r="746" spans="1:4" ht="18" customHeight="1" x14ac:dyDescent="0.25">
      <c r="A746" s="33"/>
      <c r="B746" s="34"/>
      <c r="C746" s="35"/>
      <c r="D746" s="35"/>
    </row>
    <row r="747" spans="1:4" ht="18" customHeight="1" x14ac:dyDescent="0.25">
      <c r="A747" s="33"/>
      <c r="B747" s="34"/>
      <c r="C747" s="35"/>
      <c r="D747" s="35"/>
    </row>
    <row r="748" spans="1:4" ht="18" customHeight="1" x14ac:dyDescent="0.25">
      <c r="A748" s="33"/>
      <c r="B748" s="34"/>
      <c r="C748" s="35"/>
      <c r="D748" s="35"/>
    </row>
    <row r="749" spans="1:4" ht="18" customHeight="1" x14ac:dyDescent="0.25">
      <c r="A749" s="33"/>
      <c r="B749" s="34"/>
      <c r="C749" s="35"/>
      <c r="D749" s="35"/>
    </row>
    <row r="750" spans="1:4" ht="18" customHeight="1" x14ac:dyDescent="0.25">
      <c r="A750" s="33"/>
      <c r="B750" s="34"/>
      <c r="C750" s="35"/>
      <c r="D750" s="35"/>
    </row>
    <row r="751" spans="1:4" ht="18" customHeight="1" x14ac:dyDescent="0.25">
      <c r="A751" s="33"/>
      <c r="B751" s="34"/>
      <c r="C751" s="35"/>
      <c r="D751" s="35"/>
    </row>
    <row r="752" spans="1:4" ht="18" customHeight="1" x14ac:dyDescent="0.25">
      <c r="A752" s="33"/>
      <c r="B752" s="34"/>
      <c r="C752" s="35"/>
      <c r="D752" s="35"/>
    </row>
    <row r="753" spans="1:4" ht="18" customHeight="1" x14ac:dyDescent="0.25">
      <c r="A753" s="33"/>
      <c r="B753" s="34"/>
      <c r="C753" s="35"/>
      <c r="D753" s="35"/>
    </row>
    <row r="754" spans="1:4" ht="18" customHeight="1" x14ac:dyDescent="0.25">
      <c r="A754" s="33"/>
      <c r="B754" s="34"/>
      <c r="C754" s="35"/>
      <c r="D754" s="35"/>
    </row>
    <row r="755" spans="1:4" ht="18" customHeight="1" x14ac:dyDescent="0.25">
      <c r="A755" s="33"/>
      <c r="B755" s="34"/>
      <c r="C755" s="35"/>
      <c r="D755" s="35"/>
    </row>
    <row r="756" spans="1:4" ht="18" customHeight="1" x14ac:dyDescent="0.25">
      <c r="A756" s="33"/>
      <c r="B756" s="34"/>
      <c r="C756" s="35"/>
      <c r="D756" s="35"/>
    </row>
    <row r="757" spans="1:4" ht="18" customHeight="1" x14ac:dyDescent="0.25">
      <c r="A757" s="33"/>
      <c r="B757" s="34"/>
      <c r="C757" s="35"/>
      <c r="D757" s="35"/>
    </row>
    <row r="758" spans="1:4" ht="18" customHeight="1" x14ac:dyDescent="0.25">
      <c r="A758" s="33"/>
      <c r="B758" s="34"/>
      <c r="C758" s="35"/>
      <c r="D758" s="35"/>
    </row>
    <row r="759" spans="1:4" ht="18" customHeight="1" x14ac:dyDescent="0.25">
      <c r="A759" s="33"/>
      <c r="B759" s="34"/>
      <c r="C759" s="35"/>
      <c r="D759" s="35"/>
    </row>
    <row r="760" spans="1:4" ht="18" customHeight="1" x14ac:dyDescent="0.25">
      <c r="A760" s="33"/>
      <c r="B760" s="34"/>
      <c r="C760" s="35"/>
      <c r="D760" s="35"/>
    </row>
    <row r="761" spans="1:4" ht="18" customHeight="1" x14ac:dyDescent="0.25">
      <c r="A761" s="33"/>
      <c r="B761" s="34"/>
      <c r="C761" s="35"/>
      <c r="D761" s="35"/>
    </row>
    <row r="762" spans="1:4" ht="18" customHeight="1" x14ac:dyDescent="0.25">
      <c r="A762" s="33"/>
      <c r="B762" s="34"/>
      <c r="C762" s="35"/>
      <c r="D762" s="35"/>
    </row>
    <row r="763" spans="1:4" ht="18" customHeight="1" x14ac:dyDescent="0.25">
      <c r="A763" s="33"/>
      <c r="B763" s="34"/>
      <c r="C763" s="35"/>
      <c r="D763" s="35"/>
    </row>
    <row r="764" spans="1:4" ht="18" customHeight="1" x14ac:dyDescent="0.25">
      <c r="A764" s="33"/>
      <c r="B764" s="34"/>
      <c r="C764" s="35"/>
      <c r="D764" s="35"/>
    </row>
    <row r="765" spans="1:4" ht="18" customHeight="1" x14ac:dyDescent="0.25">
      <c r="A765" s="33"/>
      <c r="B765" s="34"/>
      <c r="C765" s="35"/>
      <c r="D765" s="35"/>
    </row>
    <row r="766" spans="1:4" ht="18" customHeight="1" x14ac:dyDescent="0.25">
      <c r="A766" s="33"/>
      <c r="B766" s="34"/>
      <c r="C766" s="35"/>
      <c r="D766" s="35"/>
    </row>
    <row r="767" spans="1:4" ht="18" customHeight="1" x14ac:dyDescent="0.25">
      <c r="A767" s="33"/>
      <c r="B767" s="34"/>
      <c r="C767" s="35"/>
      <c r="D767" s="35"/>
    </row>
    <row r="768" spans="1:4" ht="18" customHeight="1" x14ac:dyDescent="0.25">
      <c r="A768" s="33"/>
      <c r="B768" s="34"/>
      <c r="C768" s="35"/>
      <c r="D768" s="35"/>
    </row>
    <row r="769" spans="1:4" ht="18" customHeight="1" x14ac:dyDescent="0.25">
      <c r="A769" s="33"/>
      <c r="B769" s="34"/>
      <c r="C769" s="35"/>
      <c r="D769" s="35"/>
    </row>
    <row r="770" spans="1:4" ht="18" customHeight="1" x14ac:dyDescent="0.25">
      <c r="A770" s="33"/>
      <c r="B770" s="34"/>
      <c r="C770" s="35"/>
      <c r="D770" s="35"/>
    </row>
    <row r="771" spans="1:4" ht="18" customHeight="1" x14ac:dyDescent="0.25">
      <c r="A771" s="33"/>
      <c r="B771" s="34"/>
      <c r="C771" s="35"/>
      <c r="D771" s="35"/>
    </row>
    <row r="772" spans="1:4" ht="18" customHeight="1" x14ac:dyDescent="0.25">
      <c r="A772" s="33"/>
      <c r="B772" s="34"/>
      <c r="C772" s="35"/>
      <c r="D772" s="35"/>
    </row>
    <row r="773" spans="1:4" ht="18" customHeight="1" x14ac:dyDescent="0.25">
      <c r="A773" s="33"/>
      <c r="B773" s="34"/>
      <c r="C773" s="35"/>
      <c r="D773" s="35"/>
    </row>
    <row r="774" spans="1:4" ht="18" customHeight="1" x14ac:dyDescent="0.25">
      <c r="A774" s="33"/>
      <c r="B774" s="34"/>
      <c r="C774" s="35"/>
      <c r="D774" s="35"/>
    </row>
    <row r="775" spans="1:4" ht="18" customHeight="1" x14ac:dyDescent="0.25">
      <c r="A775" s="33"/>
      <c r="B775" s="34"/>
      <c r="C775" s="35"/>
      <c r="D775" s="35"/>
    </row>
    <row r="776" spans="1:4" ht="18" customHeight="1" x14ac:dyDescent="0.25">
      <c r="A776" s="33"/>
      <c r="B776" s="34"/>
      <c r="C776" s="35"/>
      <c r="D776" s="35"/>
    </row>
    <row r="777" spans="1:4" ht="18" customHeight="1" x14ac:dyDescent="0.25">
      <c r="A777" s="33"/>
      <c r="B777" s="34"/>
      <c r="C777" s="35"/>
      <c r="D777" s="35"/>
    </row>
    <row r="778" spans="1:4" ht="18" customHeight="1" x14ac:dyDescent="0.25">
      <c r="A778" s="33"/>
      <c r="B778" s="34"/>
      <c r="C778" s="35"/>
      <c r="D778" s="35"/>
    </row>
    <row r="779" spans="1:4" ht="18" customHeight="1" x14ac:dyDescent="0.25">
      <c r="A779" s="33"/>
      <c r="B779" s="34"/>
      <c r="C779" s="35"/>
      <c r="D779" s="35"/>
    </row>
    <row r="780" spans="1:4" ht="18" customHeight="1" x14ac:dyDescent="0.25">
      <c r="A780" s="33"/>
      <c r="B780" s="34"/>
      <c r="C780" s="35"/>
      <c r="D780" s="35"/>
    </row>
    <row r="781" spans="1:4" ht="18" customHeight="1" x14ac:dyDescent="0.25">
      <c r="A781" s="33"/>
      <c r="B781" s="34"/>
      <c r="C781" s="35"/>
      <c r="D781" s="35"/>
    </row>
    <row r="782" spans="1:4" ht="18" customHeight="1" x14ac:dyDescent="0.25">
      <c r="A782" s="33"/>
      <c r="B782" s="34"/>
      <c r="C782" s="35"/>
      <c r="D782" s="35"/>
    </row>
    <row r="783" spans="1:4" ht="18" customHeight="1" x14ac:dyDescent="0.25">
      <c r="A783" s="33"/>
      <c r="B783" s="34"/>
      <c r="C783" s="35"/>
      <c r="D783" s="35"/>
    </row>
    <row r="784" spans="1:4" ht="18" customHeight="1" x14ac:dyDescent="0.25">
      <c r="A784" s="33"/>
      <c r="B784" s="34"/>
      <c r="C784" s="35"/>
      <c r="D784" s="35"/>
    </row>
    <row r="785" spans="1:4" ht="18" customHeight="1" x14ac:dyDescent="0.25">
      <c r="A785" s="33"/>
      <c r="B785" s="34"/>
      <c r="C785" s="35"/>
      <c r="D785" s="35"/>
    </row>
    <row r="786" spans="1:4" ht="18" customHeight="1" x14ac:dyDescent="0.25">
      <c r="A786" s="33"/>
      <c r="B786" s="34"/>
      <c r="C786" s="35"/>
      <c r="D786" s="35"/>
    </row>
    <row r="787" spans="1:4" ht="18" customHeight="1" x14ac:dyDescent="0.25">
      <c r="A787" s="33"/>
      <c r="B787" s="34"/>
      <c r="C787" s="35"/>
      <c r="D787" s="35"/>
    </row>
    <row r="788" spans="1:4" ht="18" customHeight="1" x14ac:dyDescent="0.25">
      <c r="A788" s="33"/>
      <c r="B788" s="34"/>
      <c r="C788" s="35"/>
      <c r="D788" s="35"/>
    </row>
    <row r="789" spans="1:4" ht="18" customHeight="1" x14ac:dyDescent="0.25">
      <c r="A789" s="33"/>
      <c r="B789" s="34"/>
      <c r="C789" s="35"/>
      <c r="D789" s="35"/>
    </row>
    <row r="790" spans="1:4" ht="18" customHeight="1" x14ac:dyDescent="0.25">
      <c r="A790" s="33"/>
      <c r="B790" s="34"/>
      <c r="C790" s="35"/>
      <c r="D790" s="35"/>
    </row>
    <row r="791" spans="1:4" ht="18" customHeight="1" x14ac:dyDescent="0.25">
      <c r="A791" s="33"/>
      <c r="B791" s="34"/>
      <c r="C791" s="35"/>
      <c r="D791" s="35"/>
    </row>
    <row r="792" spans="1:4" ht="18" customHeight="1" x14ac:dyDescent="0.25">
      <c r="A792" s="33"/>
      <c r="B792" s="34"/>
      <c r="C792" s="35"/>
      <c r="D792" s="35"/>
    </row>
    <row r="793" spans="1:4" ht="18" customHeight="1" x14ac:dyDescent="0.25">
      <c r="A793" s="33"/>
      <c r="B793" s="34"/>
      <c r="C793" s="35"/>
      <c r="D793" s="35"/>
    </row>
    <row r="794" spans="1:4" ht="18" customHeight="1" x14ac:dyDescent="0.25">
      <c r="A794" s="33"/>
      <c r="B794" s="34"/>
      <c r="C794" s="35"/>
      <c r="D794" s="35"/>
    </row>
    <row r="795" spans="1:4" ht="18" customHeight="1" x14ac:dyDescent="0.25">
      <c r="A795" s="33"/>
      <c r="B795" s="34"/>
      <c r="C795" s="35"/>
      <c r="D795" s="35"/>
    </row>
    <row r="796" spans="1:4" ht="18" customHeight="1" x14ac:dyDescent="0.25">
      <c r="A796" s="33"/>
      <c r="B796" s="34"/>
      <c r="C796" s="35"/>
      <c r="D796" s="35"/>
    </row>
    <row r="797" spans="1:4" ht="18" customHeight="1" x14ac:dyDescent="0.25">
      <c r="A797" s="33"/>
      <c r="B797" s="34"/>
      <c r="C797" s="35"/>
      <c r="D797" s="35"/>
    </row>
    <row r="798" spans="1:4" ht="18" customHeight="1" x14ac:dyDescent="0.25">
      <c r="A798" s="33"/>
      <c r="B798" s="34"/>
      <c r="C798" s="35"/>
      <c r="D798" s="35"/>
    </row>
    <row r="799" spans="1:4" ht="18" customHeight="1" x14ac:dyDescent="0.25">
      <c r="A799" s="33"/>
      <c r="B799" s="34"/>
      <c r="C799" s="35"/>
      <c r="D799" s="35"/>
    </row>
    <row r="800" spans="1:4" ht="18" customHeight="1" x14ac:dyDescent="0.25">
      <c r="A800" s="33"/>
      <c r="B800" s="34"/>
      <c r="C800" s="35"/>
      <c r="D800" s="35"/>
    </row>
    <row r="801" spans="1:4" ht="18" customHeight="1" x14ac:dyDescent="0.25">
      <c r="A801" s="33"/>
      <c r="B801" s="34"/>
      <c r="C801" s="35"/>
      <c r="D801" s="35"/>
    </row>
    <row r="802" spans="1:4" ht="18" customHeight="1" x14ac:dyDescent="0.25">
      <c r="A802" s="33"/>
      <c r="B802" s="34"/>
      <c r="C802" s="35"/>
      <c r="D802" s="35"/>
    </row>
    <row r="803" spans="1:4" ht="18" customHeight="1" x14ac:dyDescent="0.25">
      <c r="A803" s="33"/>
      <c r="B803" s="34"/>
      <c r="C803" s="35"/>
      <c r="D803" s="35"/>
    </row>
    <row r="804" spans="1:4" ht="18" customHeight="1" x14ac:dyDescent="0.25">
      <c r="A804" s="33"/>
      <c r="B804" s="34"/>
      <c r="C804" s="35"/>
      <c r="D804" s="35"/>
    </row>
    <row r="805" spans="1:4" ht="18" customHeight="1" x14ac:dyDescent="0.25">
      <c r="A805" s="33"/>
      <c r="B805" s="34"/>
      <c r="C805" s="35"/>
      <c r="D805" s="35"/>
    </row>
    <row r="806" spans="1:4" ht="18" customHeight="1" x14ac:dyDescent="0.25">
      <c r="A806" s="33"/>
      <c r="B806" s="34"/>
      <c r="C806" s="35"/>
      <c r="D806" s="35"/>
    </row>
    <row r="807" spans="1:4" ht="18" customHeight="1" x14ac:dyDescent="0.25">
      <c r="A807" s="33"/>
      <c r="B807" s="34"/>
      <c r="C807" s="35"/>
      <c r="D807" s="35"/>
    </row>
    <row r="808" spans="1:4" ht="18" customHeight="1" x14ac:dyDescent="0.25">
      <c r="A808" s="33"/>
      <c r="B808" s="34"/>
      <c r="C808" s="35"/>
      <c r="D808" s="35"/>
    </row>
    <row r="809" spans="1:4" ht="18" customHeight="1" x14ac:dyDescent="0.25">
      <c r="A809" s="33"/>
      <c r="B809" s="34"/>
      <c r="C809" s="35"/>
      <c r="D809" s="35"/>
    </row>
    <row r="810" spans="1:4" ht="18" customHeight="1" x14ac:dyDescent="0.25">
      <c r="A810" s="33"/>
      <c r="B810" s="34"/>
      <c r="C810" s="35"/>
      <c r="D810" s="35"/>
    </row>
    <row r="811" spans="1:4" ht="18" customHeight="1" x14ac:dyDescent="0.25">
      <c r="A811" s="33"/>
      <c r="B811" s="34"/>
      <c r="C811" s="35"/>
      <c r="D811" s="35"/>
    </row>
    <row r="812" spans="1:4" ht="18" customHeight="1" x14ac:dyDescent="0.25">
      <c r="A812" s="33"/>
      <c r="B812" s="34"/>
      <c r="C812" s="35"/>
      <c r="D812" s="35"/>
    </row>
    <row r="813" spans="1:4" ht="18" customHeight="1" x14ac:dyDescent="0.25">
      <c r="A813" s="33"/>
      <c r="B813" s="34"/>
      <c r="C813" s="35"/>
      <c r="D813" s="35"/>
    </row>
    <row r="814" spans="1:4" ht="18" customHeight="1" x14ac:dyDescent="0.25">
      <c r="A814" s="33"/>
      <c r="B814" s="34"/>
      <c r="C814" s="35"/>
      <c r="D814" s="35"/>
    </row>
    <row r="815" spans="1:4" ht="18" customHeight="1" x14ac:dyDescent="0.25">
      <c r="A815" s="33"/>
      <c r="B815" s="34"/>
      <c r="C815" s="35"/>
      <c r="D815" s="35"/>
    </row>
    <row r="816" spans="1:4" ht="18" customHeight="1" x14ac:dyDescent="0.25">
      <c r="A816" s="33"/>
      <c r="B816" s="34"/>
      <c r="C816" s="35"/>
      <c r="D816" s="35"/>
    </row>
    <row r="817" spans="1:4" ht="18" customHeight="1" x14ac:dyDescent="0.25">
      <c r="A817" s="33"/>
      <c r="B817" s="34"/>
      <c r="C817" s="35"/>
      <c r="D817" s="35"/>
    </row>
    <row r="818" spans="1:4" ht="18" customHeight="1" x14ac:dyDescent="0.25">
      <c r="A818" s="33"/>
      <c r="B818" s="34"/>
      <c r="C818" s="35"/>
      <c r="D818" s="35"/>
    </row>
    <row r="819" spans="1:4" ht="18" customHeight="1" x14ac:dyDescent="0.25">
      <c r="A819" s="33"/>
      <c r="B819" s="34"/>
      <c r="C819" s="35"/>
      <c r="D819" s="35"/>
    </row>
    <row r="820" spans="1:4" ht="18" customHeight="1" x14ac:dyDescent="0.25">
      <c r="A820" s="33"/>
      <c r="B820" s="34"/>
      <c r="C820" s="35"/>
      <c r="D820" s="35"/>
    </row>
    <row r="821" spans="1:4" ht="18" customHeight="1" x14ac:dyDescent="0.25">
      <c r="A821" s="33"/>
      <c r="B821" s="34"/>
      <c r="C821" s="35"/>
      <c r="D821" s="35"/>
    </row>
    <row r="822" spans="1:4" ht="18" customHeight="1" x14ac:dyDescent="0.25">
      <c r="A822" s="33"/>
      <c r="B822" s="34"/>
      <c r="C822" s="35"/>
      <c r="D822" s="35"/>
    </row>
    <row r="823" spans="1:4" ht="18" customHeight="1" x14ac:dyDescent="0.25">
      <c r="A823" s="33"/>
      <c r="B823" s="34"/>
      <c r="C823" s="35"/>
      <c r="D823" s="35"/>
    </row>
    <row r="824" spans="1:4" ht="18" customHeight="1" x14ac:dyDescent="0.25">
      <c r="A824" s="33"/>
      <c r="B824" s="34"/>
      <c r="C824" s="35"/>
      <c r="D824" s="35"/>
    </row>
    <row r="825" spans="1:4" ht="18" customHeight="1" x14ac:dyDescent="0.25">
      <c r="A825" s="33"/>
      <c r="B825" s="34"/>
      <c r="C825" s="35"/>
      <c r="D825" s="35"/>
    </row>
    <row r="826" spans="1:4" ht="18" customHeight="1" x14ac:dyDescent="0.25">
      <c r="A826" s="33"/>
      <c r="B826" s="34"/>
      <c r="C826" s="35"/>
      <c r="D826" s="35"/>
    </row>
    <row r="827" spans="1:4" ht="18" customHeight="1" x14ac:dyDescent="0.25">
      <c r="A827" s="33"/>
      <c r="B827" s="34"/>
      <c r="C827" s="35"/>
      <c r="D827" s="35"/>
    </row>
    <row r="828" spans="1:4" ht="18" customHeight="1" x14ac:dyDescent="0.25">
      <c r="A828" s="33"/>
      <c r="B828" s="34"/>
      <c r="C828" s="35"/>
      <c r="D828" s="35"/>
    </row>
    <row r="829" spans="1:4" ht="18" customHeight="1" x14ac:dyDescent="0.25">
      <c r="A829" s="33"/>
      <c r="B829" s="34"/>
      <c r="C829" s="35"/>
      <c r="D829" s="35"/>
    </row>
    <row r="830" spans="1:4" ht="18" customHeight="1" x14ac:dyDescent="0.25">
      <c r="A830" s="33"/>
      <c r="B830" s="34"/>
      <c r="C830" s="35"/>
      <c r="D830" s="35"/>
    </row>
    <row r="831" spans="1:4" ht="18" customHeight="1" x14ac:dyDescent="0.25">
      <c r="A831" s="33"/>
      <c r="B831" s="34"/>
      <c r="C831" s="35"/>
      <c r="D831" s="35"/>
    </row>
    <row r="832" spans="1:4" ht="18" customHeight="1" x14ac:dyDescent="0.25">
      <c r="A832" s="33"/>
      <c r="B832" s="34"/>
      <c r="C832" s="35"/>
      <c r="D832" s="35"/>
    </row>
    <row r="833" spans="1:4" ht="18" customHeight="1" x14ac:dyDescent="0.25">
      <c r="A833" s="33"/>
      <c r="B833" s="34"/>
      <c r="C833" s="35"/>
      <c r="D833" s="35"/>
    </row>
    <row r="834" spans="1:4" ht="18" customHeight="1" x14ac:dyDescent="0.25">
      <c r="A834" s="33"/>
      <c r="B834" s="34"/>
      <c r="C834" s="35"/>
      <c r="D834" s="35"/>
    </row>
    <row r="835" spans="1:4" ht="18" customHeight="1" x14ac:dyDescent="0.25">
      <c r="A835" s="33"/>
      <c r="B835" s="34"/>
      <c r="C835" s="35"/>
      <c r="D835" s="35"/>
    </row>
    <row r="836" spans="1:4" ht="18" customHeight="1" x14ac:dyDescent="0.25">
      <c r="A836" s="33"/>
      <c r="B836" s="34"/>
      <c r="C836" s="35"/>
      <c r="D836" s="35"/>
    </row>
    <row r="837" spans="1:4" ht="18" customHeight="1" x14ac:dyDescent="0.25">
      <c r="A837" s="33"/>
      <c r="B837" s="34"/>
      <c r="C837" s="35"/>
      <c r="D837" s="35"/>
    </row>
    <row r="838" spans="1:4" ht="18" customHeight="1" x14ac:dyDescent="0.25">
      <c r="A838" s="33"/>
      <c r="B838" s="34"/>
      <c r="C838" s="35"/>
      <c r="D838" s="35"/>
    </row>
    <row r="839" spans="1:4" ht="18" customHeight="1" x14ac:dyDescent="0.25">
      <c r="A839" s="33"/>
      <c r="B839" s="34"/>
      <c r="C839" s="35"/>
      <c r="D839" s="35"/>
    </row>
    <row r="840" spans="1:4" ht="18" customHeight="1" x14ac:dyDescent="0.25">
      <c r="A840" s="33"/>
      <c r="B840" s="34"/>
      <c r="C840" s="35"/>
      <c r="D840" s="35"/>
    </row>
    <row r="841" spans="1:4" ht="18" customHeight="1" x14ac:dyDescent="0.25">
      <c r="A841" s="33"/>
      <c r="B841" s="34"/>
      <c r="C841" s="35"/>
      <c r="D841" s="35"/>
    </row>
    <row r="842" spans="1:4" ht="18" customHeight="1" x14ac:dyDescent="0.25">
      <c r="A842" s="33"/>
      <c r="B842" s="34"/>
      <c r="C842" s="35"/>
      <c r="D842" s="35"/>
    </row>
    <row r="843" spans="1:4" ht="18" customHeight="1" x14ac:dyDescent="0.25">
      <c r="A843" s="33"/>
      <c r="B843" s="34"/>
      <c r="C843" s="35"/>
      <c r="D843" s="35"/>
    </row>
    <row r="844" spans="1:4" ht="18" customHeight="1" x14ac:dyDescent="0.25">
      <c r="A844" s="33"/>
      <c r="B844" s="34"/>
      <c r="C844" s="35"/>
      <c r="D844" s="35"/>
    </row>
    <row r="845" spans="1:4" ht="18" customHeight="1" x14ac:dyDescent="0.25">
      <c r="A845" s="33"/>
      <c r="B845" s="34"/>
      <c r="C845" s="35"/>
      <c r="D845" s="35"/>
    </row>
    <row r="846" spans="1:4" ht="18" customHeight="1" x14ac:dyDescent="0.25">
      <c r="A846" s="33"/>
      <c r="B846" s="34"/>
      <c r="C846" s="35"/>
      <c r="D846" s="35"/>
    </row>
    <row r="847" spans="1:4" ht="18" customHeight="1" x14ac:dyDescent="0.25">
      <c r="A847" s="33"/>
      <c r="B847" s="34"/>
      <c r="C847" s="35"/>
      <c r="D847" s="35"/>
    </row>
    <row r="848" spans="1:4" ht="18" customHeight="1" x14ac:dyDescent="0.25">
      <c r="A848" s="33"/>
      <c r="B848" s="34"/>
      <c r="C848" s="35"/>
      <c r="D848" s="35"/>
    </row>
    <row r="849" spans="1:4" ht="18" customHeight="1" x14ac:dyDescent="0.25">
      <c r="A849" s="33"/>
      <c r="B849" s="34"/>
      <c r="C849" s="35"/>
      <c r="D849" s="35"/>
    </row>
    <row r="850" spans="1:4" ht="18" customHeight="1" x14ac:dyDescent="0.25">
      <c r="A850" s="33"/>
      <c r="B850" s="34"/>
      <c r="C850" s="35"/>
      <c r="D850" s="35"/>
    </row>
    <row r="851" spans="1:4" ht="18" customHeight="1" x14ac:dyDescent="0.25">
      <c r="A851" s="33"/>
      <c r="B851" s="34"/>
      <c r="C851" s="35"/>
      <c r="D851" s="35"/>
    </row>
    <row r="852" spans="1:4" ht="18" customHeight="1" x14ac:dyDescent="0.25">
      <c r="A852" s="33"/>
      <c r="B852" s="34"/>
      <c r="C852" s="35"/>
      <c r="D852" s="35"/>
    </row>
    <row r="853" spans="1:4" ht="18" customHeight="1" x14ac:dyDescent="0.25">
      <c r="A853" s="33"/>
      <c r="B853" s="34"/>
      <c r="C853" s="35"/>
      <c r="D853" s="35"/>
    </row>
    <row r="854" spans="1:4" ht="18" customHeight="1" x14ac:dyDescent="0.25">
      <c r="A854" s="33"/>
      <c r="B854" s="34"/>
      <c r="C854" s="35"/>
      <c r="D854" s="35"/>
    </row>
    <row r="855" spans="1:4" ht="18" customHeight="1" x14ac:dyDescent="0.25">
      <c r="A855" s="33"/>
      <c r="B855" s="34"/>
      <c r="C855" s="35"/>
      <c r="D855" s="35"/>
    </row>
    <row r="856" spans="1:4" ht="18" customHeight="1" x14ac:dyDescent="0.25">
      <c r="A856" s="33"/>
      <c r="B856" s="34"/>
      <c r="C856" s="35"/>
      <c r="D856" s="35"/>
    </row>
    <row r="857" spans="1:4" ht="18" customHeight="1" x14ac:dyDescent="0.25">
      <c r="A857" s="33"/>
      <c r="B857" s="34"/>
      <c r="C857" s="35"/>
      <c r="D857" s="35"/>
    </row>
    <row r="858" spans="1:4" ht="18" customHeight="1" x14ac:dyDescent="0.25">
      <c r="A858" s="33"/>
      <c r="B858" s="34"/>
      <c r="C858" s="35"/>
      <c r="D858" s="35"/>
    </row>
    <row r="859" spans="1:4" ht="18" customHeight="1" x14ac:dyDescent="0.25">
      <c r="A859" s="33"/>
      <c r="B859" s="34"/>
      <c r="C859" s="35"/>
      <c r="D859" s="35"/>
    </row>
    <row r="860" spans="1:4" ht="18" customHeight="1" x14ac:dyDescent="0.25">
      <c r="A860" s="33"/>
      <c r="B860" s="34"/>
      <c r="C860" s="35"/>
      <c r="D860" s="35"/>
    </row>
    <row r="861" spans="1:4" ht="18" customHeight="1" x14ac:dyDescent="0.25">
      <c r="A861" s="33"/>
      <c r="B861" s="34"/>
      <c r="C861" s="35"/>
      <c r="D861" s="35"/>
    </row>
    <row r="862" spans="1:4" ht="18" customHeight="1" x14ac:dyDescent="0.25">
      <c r="A862" s="33"/>
      <c r="B862" s="34"/>
      <c r="C862" s="35"/>
      <c r="D862" s="35"/>
    </row>
    <row r="863" spans="1:4" ht="18" customHeight="1" x14ac:dyDescent="0.25">
      <c r="A863" s="33"/>
      <c r="B863" s="34"/>
      <c r="C863" s="35"/>
      <c r="D863" s="35"/>
    </row>
    <row r="864" spans="1:4" ht="18" customHeight="1" x14ac:dyDescent="0.25">
      <c r="A864" s="33"/>
      <c r="B864" s="34"/>
      <c r="C864" s="35"/>
      <c r="D864" s="35"/>
    </row>
    <row r="865" spans="1:4" ht="18" customHeight="1" x14ac:dyDescent="0.25">
      <c r="A865" s="33"/>
      <c r="B865" s="34"/>
      <c r="C865" s="35"/>
      <c r="D865" s="35"/>
    </row>
    <row r="866" spans="1:4" ht="18" customHeight="1" x14ac:dyDescent="0.25">
      <c r="A866" s="33"/>
      <c r="B866" s="34"/>
      <c r="C866" s="35"/>
      <c r="D866" s="35"/>
    </row>
    <row r="867" spans="1:4" ht="18" customHeight="1" x14ac:dyDescent="0.25">
      <c r="A867" s="33"/>
      <c r="B867" s="34"/>
      <c r="C867" s="35"/>
      <c r="D867" s="35"/>
    </row>
    <row r="868" spans="1:4" ht="18" customHeight="1" x14ac:dyDescent="0.25">
      <c r="A868" s="33"/>
      <c r="B868" s="34"/>
      <c r="C868" s="35"/>
      <c r="D868" s="35"/>
    </row>
    <row r="869" spans="1:4" ht="18" customHeight="1" x14ac:dyDescent="0.25">
      <c r="A869" s="33"/>
      <c r="B869" s="34"/>
      <c r="C869" s="35"/>
      <c r="D869" s="35"/>
    </row>
    <row r="870" spans="1:4" ht="18" customHeight="1" x14ac:dyDescent="0.25">
      <c r="A870" s="33"/>
      <c r="B870" s="34"/>
      <c r="C870" s="35"/>
      <c r="D870" s="35"/>
    </row>
    <row r="871" spans="1:4" ht="18" customHeight="1" x14ac:dyDescent="0.25">
      <c r="A871" s="33"/>
      <c r="B871" s="34"/>
      <c r="C871" s="35"/>
      <c r="D871" s="35"/>
    </row>
    <row r="872" spans="1:4" ht="18" customHeight="1" x14ac:dyDescent="0.25">
      <c r="A872" s="33"/>
      <c r="B872" s="34"/>
      <c r="C872" s="35"/>
      <c r="D872" s="35"/>
    </row>
    <row r="873" spans="1:4" ht="18" customHeight="1" x14ac:dyDescent="0.25">
      <c r="A873" s="33"/>
      <c r="B873" s="34"/>
      <c r="C873" s="35"/>
      <c r="D873" s="35"/>
    </row>
    <row r="874" spans="1:4" ht="18" customHeight="1" x14ac:dyDescent="0.25">
      <c r="A874" s="33"/>
      <c r="B874" s="34"/>
      <c r="C874" s="35"/>
      <c r="D874" s="35"/>
    </row>
    <row r="875" spans="1:4" ht="18" customHeight="1" x14ac:dyDescent="0.25">
      <c r="A875" s="33"/>
      <c r="B875" s="34"/>
      <c r="C875" s="35"/>
      <c r="D875" s="35"/>
    </row>
    <row r="876" spans="1:4" ht="18" customHeight="1" x14ac:dyDescent="0.25">
      <c r="A876" s="33"/>
      <c r="B876" s="34"/>
      <c r="C876" s="35"/>
      <c r="D876" s="35"/>
    </row>
    <row r="877" spans="1:4" ht="18" customHeight="1" x14ac:dyDescent="0.25">
      <c r="A877" s="33"/>
      <c r="B877" s="34"/>
      <c r="C877" s="35"/>
      <c r="D877" s="35"/>
    </row>
    <row r="878" spans="1:4" ht="18" customHeight="1" x14ac:dyDescent="0.25">
      <c r="A878" s="33"/>
      <c r="B878" s="34"/>
      <c r="C878" s="35"/>
      <c r="D878" s="35"/>
    </row>
    <row r="879" spans="1:4" ht="18" customHeight="1" x14ac:dyDescent="0.25">
      <c r="A879" s="33"/>
      <c r="B879" s="34"/>
      <c r="C879" s="35"/>
      <c r="D879" s="35"/>
    </row>
    <row r="880" spans="1:4" ht="18" customHeight="1" x14ac:dyDescent="0.25">
      <c r="A880" s="33"/>
      <c r="B880" s="34"/>
      <c r="C880" s="35"/>
      <c r="D880" s="35"/>
    </row>
    <row r="881" spans="1:4" ht="18" customHeight="1" x14ac:dyDescent="0.25">
      <c r="A881" s="33"/>
      <c r="B881" s="34"/>
      <c r="C881" s="35"/>
      <c r="D881" s="35"/>
    </row>
    <row r="882" spans="1:4" ht="18" customHeight="1" x14ac:dyDescent="0.25">
      <c r="A882" s="33"/>
      <c r="B882" s="34"/>
      <c r="C882" s="35"/>
      <c r="D882" s="35"/>
    </row>
    <row r="883" spans="1:4" ht="18" customHeight="1" x14ac:dyDescent="0.25">
      <c r="A883" s="33"/>
      <c r="B883" s="34"/>
      <c r="C883" s="35"/>
      <c r="D883" s="35"/>
    </row>
    <row r="884" spans="1:4" ht="18" customHeight="1" x14ac:dyDescent="0.25">
      <c r="A884" s="33"/>
      <c r="B884" s="34"/>
      <c r="C884" s="35"/>
      <c r="D884" s="35"/>
    </row>
    <row r="885" spans="1:4" ht="18" customHeight="1" x14ac:dyDescent="0.25">
      <c r="A885" s="33"/>
      <c r="B885" s="34"/>
      <c r="C885" s="35"/>
      <c r="D885" s="35"/>
    </row>
    <row r="886" spans="1:4" ht="18" customHeight="1" x14ac:dyDescent="0.25">
      <c r="A886" s="33"/>
      <c r="B886" s="34"/>
      <c r="C886" s="35"/>
      <c r="D886" s="35"/>
    </row>
    <row r="887" spans="1:4" ht="18" customHeight="1" x14ac:dyDescent="0.25">
      <c r="A887" s="33"/>
      <c r="B887" s="34"/>
      <c r="C887" s="35"/>
      <c r="D887" s="35"/>
    </row>
    <row r="888" spans="1:4" ht="18" customHeight="1" x14ac:dyDescent="0.25">
      <c r="A888" s="33"/>
      <c r="B888" s="34"/>
      <c r="C888" s="35"/>
      <c r="D888" s="35"/>
    </row>
    <row r="889" spans="1:4" ht="18" customHeight="1" x14ac:dyDescent="0.25">
      <c r="A889" s="33"/>
      <c r="B889" s="34"/>
      <c r="C889" s="35"/>
      <c r="D889" s="35"/>
    </row>
    <row r="890" spans="1:4" ht="18" customHeight="1" x14ac:dyDescent="0.25">
      <c r="A890" s="33"/>
      <c r="B890" s="34"/>
      <c r="C890" s="35"/>
      <c r="D890" s="35"/>
    </row>
    <row r="891" spans="1:4" ht="18" customHeight="1" x14ac:dyDescent="0.25">
      <c r="A891" s="33"/>
      <c r="B891" s="34"/>
      <c r="C891" s="35"/>
      <c r="D891" s="35"/>
    </row>
    <row r="892" spans="1:4" ht="18" customHeight="1" x14ac:dyDescent="0.25">
      <c r="A892" s="33"/>
      <c r="B892" s="34"/>
      <c r="C892" s="35"/>
      <c r="D892" s="35"/>
    </row>
    <row r="893" spans="1:4" ht="18" customHeight="1" x14ac:dyDescent="0.25">
      <c r="A893" s="33"/>
      <c r="B893" s="34"/>
      <c r="C893" s="35"/>
      <c r="D893" s="35"/>
    </row>
    <row r="894" spans="1:4" ht="18" customHeight="1" x14ac:dyDescent="0.25">
      <c r="A894" s="33"/>
      <c r="B894" s="34"/>
      <c r="C894" s="35"/>
      <c r="D894" s="35"/>
    </row>
    <row r="895" spans="1:4" ht="18" customHeight="1" x14ac:dyDescent="0.25">
      <c r="A895" s="33"/>
      <c r="B895" s="34"/>
      <c r="C895" s="35"/>
      <c r="D895" s="35"/>
    </row>
    <row r="896" spans="1:4" ht="18" customHeight="1" x14ac:dyDescent="0.25">
      <c r="A896" s="33"/>
      <c r="B896" s="34"/>
      <c r="C896" s="35"/>
      <c r="D896" s="35"/>
    </row>
    <row r="897" spans="1:4" ht="18" customHeight="1" x14ac:dyDescent="0.25">
      <c r="A897" s="33"/>
      <c r="B897" s="34"/>
      <c r="C897" s="35"/>
      <c r="D897" s="35"/>
    </row>
    <row r="898" spans="1:4" ht="18" customHeight="1" x14ac:dyDescent="0.25">
      <c r="A898" s="33"/>
      <c r="B898" s="34"/>
      <c r="C898" s="35"/>
      <c r="D898" s="35"/>
    </row>
    <row r="899" spans="1:4" ht="18" customHeight="1" x14ac:dyDescent="0.25">
      <c r="A899" s="33"/>
      <c r="B899" s="34"/>
      <c r="C899" s="35"/>
      <c r="D899" s="35"/>
    </row>
    <row r="900" spans="1:4" ht="18" customHeight="1" x14ac:dyDescent="0.25">
      <c r="A900" s="33"/>
      <c r="B900" s="34"/>
      <c r="C900" s="35"/>
      <c r="D900" s="35"/>
    </row>
    <row r="901" spans="1:4" ht="18" customHeight="1" x14ac:dyDescent="0.25">
      <c r="A901" s="33"/>
      <c r="B901" s="34"/>
      <c r="C901" s="35"/>
      <c r="D901" s="35"/>
    </row>
    <row r="902" spans="1:4" ht="18" customHeight="1" x14ac:dyDescent="0.25">
      <c r="A902" s="33"/>
      <c r="B902" s="34"/>
      <c r="C902" s="35"/>
      <c r="D902" s="35"/>
    </row>
    <row r="903" spans="1:4" ht="18" customHeight="1" x14ac:dyDescent="0.25">
      <c r="A903" s="33"/>
      <c r="B903" s="34"/>
      <c r="C903" s="35"/>
      <c r="D903" s="35"/>
    </row>
    <row r="904" spans="1:4" ht="18" customHeight="1" x14ac:dyDescent="0.25">
      <c r="A904" s="33"/>
      <c r="B904" s="34"/>
      <c r="C904" s="35"/>
      <c r="D904" s="35"/>
    </row>
    <row r="905" spans="1:4" ht="18" customHeight="1" x14ac:dyDescent="0.25">
      <c r="A905" s="33"/>
      <c r="B905" s="34"/>
      <c r="C905" s="35"/>
      <c r="D905" s="35"/>
    </row>
    <row r="906" spans="1:4" ht="18" customHeight="1" x14ac:dyDescent="0.25">
      <c r="A906" s="33"/>
      <c r="B906" s="34"/>
      <c r="C906" s="35"/>
      <c r="D906" s="35"/>
    </row>
    <row r="907" spans="1:4" ht="18" customHeight="1" x14ac:dyDescent="0.25">
      <c r="A907" s="33"/>
      <c r="B907" s="34"/>
      <c r="C907" s="35"/>
      <c r="D907" s="35"/>
    </row>
    <row r="908" spans="1:4" ht="18" customHeight="1" x14ac:dyDescent="0.25">
      <c r="A908" s="33"/>
      <c r="B908" s="34"/>
      <c r="C908" s="35"/>
      <c r="D908" s="35"/>
    </row>
    <row r="909" spans="1:4" ht="18" customHeight="1" x14ac:dyDescent="0.25">
      <c r="A909" s="33"/>
      <c r="B909" s="34"/>
      <c r="C909" s="35"/>
      <c r="D909" s="35"/>
    </row>
    <row r="910" spans="1:4" ht="18" customHeight="1" x14ac:dyDescent="0.25">
      <c r="A910" s="33"/>
      <c r="B910" s="34"/>
      <c r="C910" s="35"/>
      <c r="D910" s="35"/>
    </row>
    <row r="911" spans="1:4" ht="18" customHeight="1" x14ac:dyDescent="0.25">
      <c r="A911" s="33"/>
      <c r="B911" s="34"/>
      <c r="C911" s="35"/>
      <c r="D911" s="35"/>
    </row>
    <row r="912" spans="1:4" ht="18" customHeight="1" x14ac:dyDescent="0.25">
      <c r="A912" s="33"/>
      <c r="B912" s="34"/>
      <c r="C912" s="35"/>
      <c r="D912" s="35"/>
    </row>
    <row r="913" spans="1:4" ht="18" customHeight="1" x14ac:dyDescent="0.25">
      <c r="A913" s="33"/>
      <c r="B913" s="34"/>
      <c r="C913" s="35"/>
      <c r="D913" s="35"/>
    </row>
    <row r="914" spans="1:4" ht="18" customHeight="1" x14ac:dyDescent="0.25">
      <c r="A914" s="33"/>
      <c r="B914" s="34"/>
      <c r="C914" s="35"/>
      <c r="D914" s="35"/>
    </row>
    <row r="915" spans="1:4" ht="18" customHeight="1" x14ac:dyDescent="0.25">
      <c r="A915" s="33"/>
      <c r="B915" s="34"/>
      <c r="C915" s="35"/>
      <c r="D915" s="35"/>
    </row>
    <row r="916" spans="1:4" ht="18" customHeight="1" x14ac:dyDescent="0.25">
      <c r="A916" s="33"/>
      <c r="B916" s="34"/>
      <c r="C916" s="35"/>
      <c r="D916" s="35"/>
    </row>
    <row r="917" spans="1:4" ht="18" customHeight="1" x14ac:dyDescent="0.25">
      <c r="A917" s="33"/>
      <c r="B917" s="34"/>
      <c r="C917" s="35"/>
      <c r="D917" s="35"/>
    </row>
    <row r="918" spans="1:4" ht="18" customHeight="1" x14ac:dyDescent="0.25">
      <c r="A918" s="33"/>
      <c r="B918" s="34"/>
      <c r="C918" s="35"/>
      <c r="D918" s="35"/>
    </row>
    <row r="919" spans="1:4" ht="18" customHeight="1" x14ac:dyDescent="0.25">
      <c r="A919" s="33"/>
      <c r="B919" s="34"/>
      <c r="C919" s="35"/>
      <c r="D919" s="35"/>
    </row>
    <row r="920" spans="1:4" ht="18" customHeight="1" x14ac:dyDescent="0.25">
      <c r="A920" s="33"/>
      <c r="B920" s="34"/>
      <c r="C920" s="35"/>
      <c r="D920" s="35"/>
    </row>
    <row r="921" spans="1:4" ht="18" customHeight="1" x14ac:dyDescent="0.25">
      <c r="A921" s="33"/>
      <c r="B921" s="34"/>
      <c r="C921" s="35"/>
      <c r="D921" s="35"/>
    </row>
    <row r="922" spans="1:4" ht="18" customHeight="1" x14ac:dyDescent="0.25">
      <c r="A922" s="33"/>
      <c r="B922" s="34"/>
      <c r="C922" s="35"/>
      <c r="D922" s="35"/>
    </row>
    <row r="923" spans="1:4" ht="18" customHeight="1" x14ac:dyDescent="0.25">
      <c r="A923" s="33"/>
      <c r="B923" s="34"/>
      <c r="C923" s="35"/>
      <c r="D923" s="35"/>
    </row>
    <row r="924" spans="1:4" ht="18" customHeight="1" x14ac:dyDescent="0.25">
      <c r="A924" s="33"/>
      <c r="B924" s="34"/>
      <c r="C924" s="35"/>
      <c r="D924" s="35"/>
    </row>
    <row r="925" spans="1:4" ht="18" customHeight="1" x14ac:dyDescent="0.25">
      <c r="A925" s="33"/>
      <c r="B925" s="34"/>
      <c r="C925" s="35"/>
      <c r="D925" s="35"/>
    </row>
    <row r="926" spans="1:4" ht="18" customHeight="1" x14ac:dyDescent="0.25">
      <c r="A926" s="33"/>
      <c r="B926" s="34"/>
      <c r="C926" s="35"/>
      <c r="D926" s="35"/>
    </row>
    <row r="927" spans="1:4" ht="18" customHeight="1" x14ac:dyDescent="0.25">
      <c r="A927" s="33"/>
      <c r="B927" s="34"/>
      <c r="C927" s="35"/>
      <c r="D927" s="35"/>
    </row>
    <row r="928" spans="1:4" ht="18" customHeight="1" x14ac:dyDescent="0.25">
      <c r="A928" s="33"/>
      <c r="B928" s="34"/>
      <c r="C928" s="35"/>
      <c r="D928" s="35"/>
    </row>
    <row r="929" spans="1:4" ht="18" customHeight="1" x14ac:dyDescent="0.25">
      <c r="A929" s="33"/>
      <c r="B929" s="34"/>
      <c r="C929" s="35"/>
      <c r="D929" s="35"/>
    </row>
    <row r="930" spans="1:4" ht="18" customHeight="1" x14ac:dyDescent="0.25">
      <c r="A930" s="33"/>
      <c r="B930" s="34"/>
      <c r="C930" s="35"/>
      <c r="D930" s="35"/>
    </row>
    <row r="931" spans="1:4" ht="18" customHeight="1" x14ac:dyDescent="0.25">
      <c r="A931" s="33"/>
      <c r="B931" s="34"/>
      <c r="C931" s="35"/>
      <c r="D931" s="35"/>
    </row>
    <row r="932" spans="1:4" ht="18" customHeight="1" x14ac:dyDescent="0.25">
      <c r="A932" s="33"/>
      <c r="B932" s="34"/>
      <c r="C932" s="35"/>
      <c r="D932" s="35"/>
    </row>
    <row r="933" spans="1:4" ht="18" customHeight="1" x14ac:dyDescent="0.25">
      <c r="A933" s="33"/>
      <c r="B933" s="34"/>
      <c r="C933" s="35"/>
      <c r="D933" s="35"/>
    </row>
    <row r="934" spans="1:4" ht="18" customHeight="1" x14ac:dyDescent="0.25">
      <c r="A934" s="33"/>
      <c r="B934" s="34"/>
      <c r="C934" s="35"/>
      <c r="D934" s="35"/>
    </row>
    <row r="935" spans="1:4" ht="18" customHeight="1" x14ac:dyDescent="0.25">
      <c r="A935" s="33"/>
      <c r="B935" s="34"/>
      <c r="C935" s="35"/>
      <c r="D935" s="35"/>
    </row>
    <row r="936" spans="1:4" ht="18" customHeight="1" x14ac:dyDescent="0.25">
      <c r="A936" s="33"/>
      <c r="B936" s="34"/>
      <c r="C936" s="35"/>
      <c r="D936" s="35"/>
    </row>
    <row r="937" spans="1:4" ht="18" customHeight="1" x14ac:dyDescent="0.25">
      <c r="A937" s="33"/>
      <c r="B937" s="34"/>
      <c r="C937" s="35"/>
      <c r="D937" s="35"/>
    </row>
    <row r="938" spans="1:4" ht="18" customHeight="1" x14ac:dyDescent="0.25">
      <c r="A938" s="33"/>
      <c r="B938" s="34"/>
      <c r="C938" s="35"/>
      <c r="D938" s="35"/>
    </row>
    <row r="939" spans="1:4" ht="18" customHeight="1" x14ac:dyDescent="0.25">
      <c r="A939" s="33"/>
      <c r="B939" s="34"/>
      <c r="C939" s="35"/>
      <c r="D939" s="35"/>
    </row>
    <row r="940" spans="1:4" ht="18" customHeight="1" x14ac:dyDescent="0.25">
      <c r="A940" s="33"/>
      <c r="B940" s="34"/>
      <c r="C940" s="35"/>
      <c r="D940" s="35"/>
    </row>
    <row r="941" spans="1:4" ht="18" customHeight="1" x14ac:dyDescent="0.25">
      <c r="A941" s="33"/>
      <c r="B941" s="34"/>
      <c r="C941" s="35"/>
      <c r="D941" s="35"/>
    </row>
    <row r="942" spans="1:4" ht="18" customHeight="1" x14ac:dyDescent="0.25">
      <c r="A942" s="33"/>
      <c r="B942" s="34"/>
      <c r="C942" s="35"/>
      <c r="D942" s="35"/>
    </row>
    <row r="943" spans="1:4" ht="18" customHeight="1" x14ac:dyDescent="0.25">
      <c r="A943" s="33"/>
      <c r="B943" s="34"/>
      <c r="C943" s="35"/>
      <c r="D943" s="35"/>
    </row>
    <row r="944" spans="1:4" ht="18" customHeight="1" x14ac:dyDescent="0.25">
      <c r="A944" s="33"/>
      <c r="B944" s="34"/>
      <c r="C944" s="35"/>
      <c r="D944" s="35"/>
    </row>
    <row r="945" spans="1:4" ht="18" customHeight="1" x14ac:dyDescent="0.25">
      <c r="A945" s="33"/>
      <c r="B945" s="34"/>
      <c r="C945" s="35"/>
      <c r="D945" s="35"/>
    </row>
    <row r="946" spans="1:4" ht="18" customHeight="1" x14ac:dyDescent="0.25">
      <c r="A946" s="33"/>
      <c r="B946" s="34"/>
      <c r="C946" s="35"/>
      <c r="D946" s="35"/>
    </row>
    <row r="947" spans="1:4" ht="18" customHeight="1" x14ac:dyDescent="0.25">
      <c r="A947" s="33"/>
      <c r="B947" s="34"/>
      <c r="C947" s="35"/>
      <c r="D947" s="35"/>
    </row>
    <row r="948" spans="1:4" ht="18" customHeight="1" x14ac:dyDescent="0.25">
      <c r="A948" s="33"/>
      <c r="B948" s="34"/>
      <c r="C948" s="35"/>
      <c r="D948" s="35"/>
    </row>
    <row r="949" spans="1:4" ht="18" customHeight="1" x14ac:dyDescent="0.25">
      <c r="A949" s="33"/>
      <c r="B949" s="34"/>
      <c r="C949" s="35"/>
      <c r="D949" s="35"/>
    </row>
    <row r="950" spans="1:4" ht="18" customHeight="1" x14ac:dyDescent="0.25">
      <c r="A950" s="33"/>
      <c r="B950" s="34"/>
      <c r="C950" s="35"/>
      <c r="D950" s="35"/>
    </row>
    <row r="951" spans="1:4" ht="18" customHeight="1" x14ac:dyDescent="0.25">
      <c r="A951" s="33"/>
      <c r="B951" s="34"/>
      <c r="C951" s="35"/>
      <c r="D951" s="35"/>
    </row>
    <row r="952" spans="1:4" ht="18" customHeight="1" x14ac:dyDescent="0.25">
      <c r="A952" s="33"/>
      <c r="B952" s="34"/>
      <c r="C952" s="35"/>
      <c r="D952" s="35"/>
    </row>
    <row r="953" spans="1:4" ht="18" customHeight="1" x14ac:dyDescent="0.25">
      <c r="A953" s="33"/>
      <c r="B953" s="34"/>
      <c r="C953" s="35"/>
      <c r="D953" s="35"/>
    </row>
    <row r="954" spans="1:4" ht="18" customHeight="1" x14ac:dyDescent="0.25">
      <c r="A954" s="33"/>
      <c r="B954" s="34"/>
      <c r="C954" s="35"/>
      <c r="D954" s="35"/>
    </row>
    <row r="955" spans="1:4" ht="18" customHeight="1" x14ac:dyDescent="0.25">
      <c r="A955" s="33"/>
      <c r="B955" s="34"/>
      <c r="C955" s="35"/>
      <c r="D955" s="35"/>
    </row>
    <row r="956" spans="1:4" ht="18" customHeight="1" x14ac:dyDescent="0.25">
      <c r="A956" s="33"/>
      <c r="B956" s="34"/>
      <c r="C956" s="35"/>
      <c r="D956" s="35"/>
    </row>
    <row r="957" spans="1:4" ht="18" customHeight="1" x14ac:dyDescent="0.25">
      <c r="A957" s="33"/>
      <c r="B957" s="34"/>
      <c r="C957" s="35"/>
      <c r="D957" s="35"/>
    </row>
    <row r="958" spans="1:4" ht="18" customHeight="1" x14ac:dyDescent="0.25">
      <c r="A958" s="33"/>
      <c r="B958" s="34"/>
      <c r="C958" s="35"/>
      <c r="D958" s="35"/>
    </row>
    <row r="959" spans="1:4" ht="18" customHeight="1" x14ac:dyDescent="0.25">
      <c r="A959" s="33"/>
      <c r="B959" s="34"/>
      <c r="C959" s="35"/>
      <c r="D959" s="35"/>
    </row>
    <row r="960" spans="1:4" ht="18" customHeight="1" x14ac:dyDescent="0.25">
      <c r="A960" s="33"/>
      <c r="B960" s="34"/>
      <c r="C960" s="35"/>
      <c r="D960" s="35"/>
    </row>
    <row r="961" spans="1:4" ht="18" customHeight="1" x14ac:dyDescent="0.25">
      <c r="A961" s="33"/>
      <c r="B961" s="34"/>
      <c r="C961" s="35"/>
      <c r="D961" s="35"/>
    </row>
    <row r="962" spans="1:4" ht="18" customHeight="1" x14ac:dyDescent="0.25">
      <c r="A962" s="33"/>
      <c r="B962" s="34"/>
      <c r="C962" s="35"/>
      <c r="D962" s="35"/>
    </row>
    <row r="963" spans="1:4" ht="18" customHeight="1" x14ac:dyDescent="0.25">
      <c r="A963" s="33"/>
      <c r="B963" s="34"/>
      <c r="C963" s="35"/>
      <c r="D963" s="35"/>
    </row>
    <row r="964" spans="1:4" ht="18" customHeight="1" x14ac:dyDescent="0.25">
      <c r="A964" s="33"/>
      <c r="B964" s="34"/>
      <c r="C964" s="35"/>
      <c r="D964" s="35"/>
    </row>
    <row r="965" spans="1:4" ht="18" customHeight="1" x14ac:dyDescent="0.25">
      <c r="A965" s="33"/>
      <c r="B965" s="34"/>
      <c r="C965" s="35"/>
      <c r="D965" s="35"/>
    </row>
    <row r="966" spans="1:4" ht="18" customHeight="1" x14ac:dyDescent="0.25">
      <c r="A966" s="33"/>
      <c r="B966" s="34"/>
      <c r="C966" s="35"/>
      <c r="D966" s="35"/>
    </row>
    <row r="967" spans="1:4" ht="18" customHeight="1" x14ac:dyDescent="0.25">
      <c r="A967" s="33"/>
      <c r="B967" s="34"/>
      <c r="C967" s="35"/>
      <c r="D967" s="35"/>
    </row>
    <row r="968" spans="1:4" ht="18" customHeight="1" x14ac:dyDescent="0.25">
      <c r="A968" s="33"/>
      <c r="B968" s="34"/>
      <c r="C968" s="35"/>
      <c r="D968" s="35"/>
    </row>
    <row r="969" spans="1:4" ht="18" customHeight="1" x14ac:dyDescent="0.25">
      <c r="A969" s="33"/>
      <c r="B969" s="34"/>
      <c r="C969" s="35"/>
      <c r="D969" s="35"/>
    </row>
    <row r="970" spans="1:4" ht="18" customHeight="1" x14ac:dyDescent="0.25">
      <c r="A970" s="33"/>
      <c r="B970" s="34"/>
      <c r="C970" s="35"/>
      <c r="D970" s="35"/>
    </row>
    <row r="971" spans="1:4" ht="18" customHeight="1" x14ac:dyDescent="0.25">
      <c r="A971" s="33"/>
      <c r="B971" s="34"/>
      <c r="C971" s="35"/>
      <c r="D971" s="35"/>
    </row>
    <row r="972" spans="1:4" ht="18" customHeight="1" x14ac:dyDescent="0.25">
      <c r="A972" s="33"/>
      <c r="B972" s="34"/>
      <c r="C972" s="35"/>
      <c r="D972" s="35"/>
    </row>
    <row r="973" spans="1:4" ht="18" customHeight="1" x14ac:dyDescent="0.25">
      <c r="A973" s="33"/>
      <c r="B973" s="34"/>
      <c r="C973" s="35"/>
      <c r="D973" s="35"/>
    </row>
    <row r="974" spans="1:4" ht="18" customHeight="1" x14ac:dyDescent="0.25">
      <c r="A974" s="33"/>
      <c r="B974" s="34"/>
      <c r="C974" s="35"/>
      <c r="D974" s="35"/>
    </row>
    <row r="975" spans="1:4" ht="18" customHeight="1" x14ac:dyDescent="0.25">
      <c r="A975" s="33"/>
      <c r="B975" s="34"/>
      <c r="C975" s="35"/>
      <c r="D975" s="35"/>
    </row>
    <row r="976" spans="1:4" ht="18" customHeight="1" x14ac:dyDescent="0.25">
      <c r="A976" s="33"/>
      <c r="B976" s="34"/>
      <c r="C976" s="35"/>
      <c r="D976" s="35"/>
    </row>
    <row r="977" spans="1:4" ht="18" customHeight="1" x14ac:dyDescent="0.25">
      <c r="A977" s="33"/>
      <c r="B977" s="34"/>
      <c r="C977" s="35"/>
      <c r="D977" s="35"/>
    </row>
    <row r="978" spans="1:4" ht="18" customHeight="1" x14ac:dyDescent="0.25">
      <c r="A978" s="33"/>
      <c r="B978" s="34"/>
      <c r="C978" s="35"/>
      <c r="D978" s="35"/>
    </row>
    <row r="979" spans="1:4" ht="18" customHeight="1" x14ac:dyDescent="0.25">
      <c r="A979" s="33"/>
      <c r="B979" s="34"/>
      <c r="C979" s="35"/>
      <c r="D979" s="35"/>
    </row>
    <row r="980" spans="1:4" ht="18" customHeight="1" x14ac:dyDescent="0.25">
      <c r="A980" s="33"/>
      <c r="B980" s="34"/>
      <c r="C980" s="35"/>
      <c r="D980" s="35"/>
    </row>
    <row r="981" spans="1:4" ht="18" customHeight="1" x14ac:dyDescent="0.25">
      <c r="A981" s="33"/>
      <c r="B981" s="34"/>
      <c r="C981" s="35"/>
      <c r="D981" s="35"/>
    </row>
    <row r="982" spans="1:4" ht="18" customHeight="1" x14ac:dyDescent="0.25">
      <c r="A982" s="33"/>
      <c r="B982" s="34"/>
      <c r="C982" s="35"/>
      <c r="D982" s="35"/>
    </row>
    <row r="983" spans="1:4" ht="18" customHeight="1" x14ac:dyDescent="0.25">
      <c r="A983" s="33"/>
      <c r="B983" s="34"/>
      <c r="C983" s="35"/>
      <c r="D983" s="35"/>
    </row>
    <row r="984" spans="1:4" ht="18" customHeight="1" x14ac:dyDescent="0.25">
      <c r="A984" s="33"/>
      <c r="B984" s="34"/>
      <c r="C984" s="35"/>
      <c r="D984" s="35"/>
    </row>
    <row r="985" spans="1:4" ht="18" customHeight="1" x14ac:dyDescent="0.25">
      <c r="A985" s="33"/>
      <c r="B985" s="34"/>
      <c r="C985" s="35"/>
      <c r="D985" s="35"/>
    </row>
    <row r="986" spans="1:4" ht="18" customHeight="1" x14ac:dyDescent="0.25">
      <c r="A986" s="33"/>
      <c r="B986" s="34"/>
      <c r="C986" s="35"/>
      <c r="D986" s="35"/>
    </row>
    <row r="987" spans="1:4" ht="18" customHeight="1" x14ac:dyDescent="0.25">
      <c r="A987" s="33"/>
      <c r="B987" s="34"/>
      <c r="C987" s="35"/>
      <c r="D987" s="35"/>
    </row>
    <row r="988" spans="1:4" ht="18" customHeight="1" x14ac:dyDescent="0.25">
      <c r="A988" s="33"/>
      <c r="B988" s="34"/>
      <c r="C988" s="35"/>
      <c r="D988" s="35"/>
    </row>
    <row r="989" spans="1:4" ht="18" customHeight="1" x14ac:dyDescent="0.25">
      <c r="A989" s="33"/>
      <c r="B989" s="34"/>
      <c r="C989" s="35"/>
      <c r="D989" s="35"/>
    </row>
    <row r="990" spans="1:4" ht="18" customHeight="1" x14ac:dyDescent="0.25">
      <c r="A990" s="33"/>
      <c r="B990" s="34"/>
      <c r="C990" s="35"/>
      <c r="D990" s="35"/>
    </row>
    <row r="991" spans="1:4" ht="18" customHeight="1" x14ac:dyDescent="0.25">
      <c r="A991" s="33"/>
      <c r="B991" s="34"/>
      <c r="C991" s="35"/>
      <c r="D991" s="35"/>
    </row>
    <row r="992" spans="1:4" ht="18" customHeight="1" x14ac:dyDescent="0.25">
      <c r="A992" s="33"/>
      <c r="B992" s="34"/>
      <c r="C992" s="35"/>
      <c r="D992" s="35"/>
    </row>
    <row r="993" spans="1:4" ht="18" customHeight="1" x14ac:dyDescent="0.25">
      <c r="A993" s="33"/>
      <c r="B993" s="34"/>
      <c r="C993" s="35"/>
      <c r="D993" s="35"/>
    </row>
    <row r="994" spans="1:4" ht="18" customHeight="1" x14ac:dyDescent="0.25">
      <c r="A994" s="33"/>
      <c r="B994" s="34"/>
      <c r="C994" s="35"/>
      <c r="D994" s="35"/>
    </row>
    <row r="995" spans="1:4" ht="18" customHeight="1" x14ac:dyDescent="0.25">
      <c r="A995" s="33"/>
      <c r="B995" s="34"/>
      <c r="C995" s="35"/>
      <c r="D995" s="35"/>
    </row>
    <row r="996" spans="1:4" ht="18" customHeight="1" x14ac:dyDescent="0.25">
      <c r="A996" s="33"/>
      <c r="B996" s="34"/>
      <c r="C996" s="35"/>
      <c r="D996" s="35"/>
    </row>
    <row r="997" spans="1:4" ht="18" customHeight="1" x14ac:dyDescent="0.25">
      <c r="A997" s="33"/>
      <c r="B997" s="34"/>
      <c r="C997" s="35"/>
      <c r="D997" s="35"/>
    </row>
    <row r="998" spans="1:4" ht="18" customHeight="1" x14ac:dyDescent="0.25">
      <c r="A998" s="33"/>
      <c r="B998" s="34"/>
      <c r="C998" s="35"/>
      <c r="D998" s="35"/>
    </row>
    <row r="999" spans="1:4" ht="18" customHeight="1" x14ac:dyDescent="0.25">
      <c r="A999" s="33"/>
      <c r="B999" s="34"/>
      <c r="C999" s="35"/>
      <c r="D999" s="35"/>
    </row>
    <row r="1000" spans="1:4" ht="18" customHeight="1" x14ac:dyDescent="0.25">
      <c r="A1000" s="33"/>
      <c r="B1000" s="34"/>
      <c r="C1000" s="35"/>
      <c r="D1000" s="35"/>
    </row>
    <row r="1001" spans="1:4" ht="18" customHeight="1" x14ac:dyDescent="0.25">
      <c r="A1001" s="33"/>
      <c r="B1001" s="34"/>
      <c r="C1001" s="35"/>
      <c r="D1001" s="35"/>
    </row>
    <row r="1002" spans="1:4" ht="18" customHeight="1" x14ac:dyDescent="0.25">
      <c r="A1002" s="33"/>
      <c r="B1002" s="34"/>
      <c r="C1002" s="35"/>
      <c r="D1002" s="35"/>
    </row>
    <row r="1003" spans="1:4" ht="18" customHeight="1" x14ac:dyDescent="0.25"/>
  </sheetData>
  <autoFilter ref="A1:D561" xr:uid="{00000000-0009-0000-0000-000001000000}"/>
  <customSheetViews>
    <customSheetView guid="{E0B87E99-EE4A-40C2-850E-6C478C25C46D}" filter="1" showAutoFilter="1">
      <pageMargins left="0.7" right="0.7" top="0.75" bottom="0.75" header="0.3" footer="0.3"/>
      <autoFilter ref="A1:BQ4" xr:uid="{5D9461C7-7288-45B6-9394-796CEC7E8AB3}"/>
    </customSheetView>
    <customSheetView guid="{9DC12F61-C39B-40C3-A777-9170A1FE1A80}" filter="1" showAutoFilter="1">
      <pageMargins left="0.7" right="0.7" top="0.75" bottom="0.75" header="0.3" footer="0.3"/>
      <autoFilter ref="A2:BS4" xr:uid="{7FE12318-1553-45BC-88CF-F70200921AC3}"/>
    </customSheetView>
    <customSheetView guid="{EC3EBD7A-7413-449F-A314-606F3B94FC3C}" filter="1" showAutoFilter="1">
      <pageMargins left="0.7" right="0.7" top="0.75" bottom="0.75" header="0.3" footer="0.3"/>
      <autoFilter ref="A1:BQ4" xr:uid="{49F99AC1-5BCB-494B-AE9D-BDDAB04636C9}"/>
    </customSheetView>
  </customSheetViews>
  <conditionalFormatting sqref="C2:C165 C167:C1002">
    <cfRule type="expression" dxfId="0" priority="38">
      <formula>COUNTIF($C$1:$C$2,#REF!)&gt;1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644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 outlineLevelCol="1" x14ac:dyDescent="0.25"/>
  <cols>
    <col min="1" max="1" width="29.109375" customWidth="1"/>
    <col min="2" max="2" width="18.44140625" customWidth="1"/>
    <col min="3" max="3" width="63" customWidth="1"/>
    <col min="4" max="4" width="11.6640625" customWidth="1"/>
    <col min="5" max="5" width="11.6640625" customWidth="1" outlineLevel="1"/>
    <col min="6" max="6" width="16.6640625" customWidth="1" outlineLevel="1"/>
    <col min="7" max="7" width="16.21875" customWidth="1" outlineLevel="1"/>
    <col min="8" max="8" width="24.109375" customWidth="1" outlineLevel="1"/>
    <col min="9" max="10" width="16.6640625" customWidth="1" outlineLevel="1"/>
  </cols>
  <sheetData>
    <row r="1" spans="1:10" ht="36.75" customHeight="1" x14ac:dyDescent="0.25">
      <c r="A1" s="3"/>
      <c r="B1" s="4"/>
      <c r="C1" s="5">
        <f>SUBTOTAL(3,C4:C644)</f>
        <v>0</v>
      </c>
      <c r="D1" s="6">
        <f t="shared" ref="D1:J1" si="0">SUBTOTAL(9,D4:D644)</f>
        <v>0</v>
      </c>
      <c r="E1" s="6">
        <f t="shared" si="0"/>
        <v>0</v>
      </c>
      <c r="F1" s="6">
        <f t="shared" si="0"/>
        <v>0</v>
      </c>
      <c r="G1" s="6">
        <f t="shared" si="0"/>
        <v>0</v>
      </c>
      <c r="H1" s="6">
        <f t="shared" si="0"/>
        <v>0</v>
      </c>
      <c r="I1" s="6">
        <f t="shared" si="0"/>
        <v>0</v>
      </c>
      <c r="J1" s="6">
        <f t="shared" si="0"/>
        <v>0</v>
      </c>
    </row>
    <row r="2" spans="1:10" ht="60.75" customHeight="1" x14ac:dyDescent="0.25">
      <c r="A2" s="7"/>
      <c r="B2" s="8"/>
      <c r="C2" s="9"/>
      <c r="D2" s="10" t="s">
        <v>2</v>
      </c>
      <c r="E2" s="11" t="s">
        <v>3</v>
      </c>
      <c r="F2" s="12" t="s">
        <v>4</v>
      </c>
      <c r="G2" s="11" t="s">
        <v>5</v>
      </c>
      <c r="H2" s="13" t="s">
        <v>6</v>
      </c>
      <c r="I2" s="13" t="s">
        <v>7</v>
      </c>
      <c r="J2" s="13"/>
    </row>
    <row r="3" spans="1:10" ht="30.75" customHeight="1" x14ac:dyDescent="0.35">
      <c r="A3" s="14" t="s">
        <v>1</v>
      </c>
      <c r="B3" s="15" t="s">
        <v>0</v>
      </c>
      <c r="C3" s="15" t="s">
        <v>8</v>
      </c>
      <c r="D3" s="16">
        <v>30000</v>
      </c>
      <c r="E3" s="16">
        <v>80000</v>
      </c>
      <c r="F3" s="16">
        <v>85000</v>
      </c>
      <c r="G3" s="16">
        <v>35000</v>
      </c>
      <c r="H3" s="16">
        <v>35000</v>
      </c>
      <c r="I3" s="16">
        <v>40000</v>
      </c>
      <c r="J3" s="16"/>
    </row>
    <row r="4" spans="1:10" ht="18" customHeight="1" x14ac:dyDescent="0.25">
      <c r="A4" s="17" t="str">
        <f ca="1">IFERROR(__xludf.DUMMYFUNCTION("ArrayFormula(SORT(UNIQUE({
IMPORTRANGE(""1tYwUKMGOpwgd2WX3KrOPD3Rj3c4Om3t1RBQe7TkVAww"", ""Форма!A6:I"");
IMPORTRANGE(""1GwT20TwAeb8qPDEQ4OUu6-0FqWedciur6YIyoQSETqk"", ""Форма!A6:I"");
IMPORTRANGE(""1Y04I6rOuzJi9CXWEuiiKrl6CxIwFU-VOSRtVpDW4RtI"", ""Форма!"&amp;"A6:I"");
IMPORTRANGE(""1m16FjlZiIHSCJ4gHTOQ8j10kkMDQFhM_z0LIlctUOH8"", ""Форма!A6:I"");
IMPORTRANGE(""16GxIfyQg4t27HpUpEUSlapeF-kv0Jb8ewVFO3jNwSNU"", ""Форма!A6:I"");
IMPORTRANGE(""1PvB6qy8zOsAIS9tNZTW9UaKz0Kc3It7vcKYxv3jq0dg"", ""Форма!A6:I"");
IMPORTRAN"&amp;"GE(""1ddCNsnj3jjAgucTUBFTS7gkMyf6usoFrmsqQTa8tIWY"", ""Форма!A6:I"");
IMPORTRANGE(""1sC0pC4I-4hQaF06OzuVJjqzt-iD7Z6ePbjK28GYQiAI"", ""Форма!A6:I"");
IMPORTRANGE(""1l7x0J8NXzMevirwACSzDYZTj7kBxAMyQjcINlx5Qvmg"", ""Форма!A6:I"");
IMPORTRANGE(""1mUsZQwZdgu5-"&amp;"vS_XnMXfYRnb6X9VJPL1nlHA-F_vMSE"", ""Форма!A6:I"");
IMPORTRANGE(""1-YjcCn3EU-1Z0TtF3PVSht1hXsbRmgfIfapmqmvxct8"", ""Форма!A6:I"");
IMPORTRANGE(""1LdpQs87Eycx5vhK6XS-x0evYFYH0MLHFRcoyockEGSo"", ""Форма!A6:I"");
IMPORTRANGE(""1gqMUINXDNeY2tIm-DYEqB0PvZC1XuK"&amp;"0IUX9Fe6L6pyc"", ""Форма!A6:I"");
IMPORTRANGE(""137c5VUDGuDg3V8uOV2JPP4BBwztoDqig_yjIThmBp9E"", ""Форма!A6:I"");
IMPORTRANGE(""1oYKw2hNdudihRVHzl1Wn6rqx8-qoYzWFs8DgElb7vT8"", ""Форма!A6:I"");
IMPORTRANGE(""1HCmVsDM1yMCQQUIPm4JaVXj2tkvyKiP86k98T0iF01o"", "&amp;"""Форма!A6:I"");
IMPORTRANGE(""1hs_gH2U3EXkCN4HGXiZQkfyS6dNP2Kx7mMIUo5yjFzU"", ""Форма!A6:I"")}),2, FALSE,10 , TRUE))"),"#VALUE!")</f>
        <v>#VALUE!</v>
      </c>
      <c r="B4" s="18"/>
      <c r="C4" s="19"/>
      <c r="D4" s="20"/>
      <c r="E4" s="20"/>
      <c r="F4" s="20"/>
      <c r="G4" s="21"/>
      <c r="H4" s="21"/>
      <c r="I4" s="17"/>
      <c r="J4" s="21">
        <f t="shared" ref="J4:J99" si="1">SUM(D4:I4)</f>
        <v>0</v>
      </c>
    </row>
    <row r="5" spans="1:10" ht="18" customHeight="1" x14ac:dyDescent="0.25">
      <c r="A5" s="22"/>
      <c r="B5" s="23"/>
      <c r="C5" s="23"/>
      <c r="D5" s="20"/>
      <c r="E5" s="20"/>
      <c r="F5" s="20"/>
      <c r="G5" s="21"/>
      <c r="H5" s="21"/>
      <c r="I5" s="17"/>
      <c r="J5" s="21">
        <f t="shared" si="1"/>
        <v>0</v>
      </c>
    </row>
    <row r="6" spans="1:10" ht="18" customHeight="1" x14ac:dyDescent="0.25">
      <c r="A6" s="24"/>
      <c r="B6" s="17"/>
      <c r="C6" s="17"/>
      <c r="D6" s="20"/>
      <c r="E6" s="20"/>
      <c r="F6" s="20"/>
      <c r="G6" s="21"/>
      <c r="H6" s="21"/>
      <c r="I6" s="17"/>
      <c r="J6" s="21">
        <f t="shared" si="1"/>
        <v>0</v>
      </c>
    </row>
    <row r="7" spans="1:10" ht="18" customHeight="1" x14ac:dyDescent="0.25">
      <c r="A7" s="22"/>
      <c r="B7" s="17"/>
      <c r="C7" s="18"/>
      <c r="D7" s="20"/>
      <c r="E7" s="20"/>
      <c r="F7" s="20"/>
      <c r="G7" s="21"/>
      <c r="H7" s="21"/>
      <c r="I7" s="17"/>
      <c r="J7" s="21">
        <f t="shared" si="1"/>
        <v>0</v>
      </c>
    </row>
    <row r="8" spans="1:10" ht="18" customHeight="1" x14ac:dyDescent="0.25">
      <c r="A8" s="22"/>
      <c r="B8" s="17"/>
      <c r="C8" s="17"/>
      <c r="D8" s="20"/>
      <c r="E8" s="20"/>
      <c r="F8" s="20"/>
      <c r="G8" s="21"/>
      <c r="H8" s="21"/>
      <c r="I8" s="17"/>
      <c r="J8" s="21">
        <f t="shared" si="1"/>
        <v>0</v>
      </c>
    </row>
    <row r="9" spans="1:10" ht="18" customHeight="1" x14ac:dyDescent="0.25">
      <c r="A9" s="22"/>
      <c r="B9" s="17"/>
      <c r="C9" s="17"/>
      <c r="D9" s="20"/>
      <c r="E9" s="20"/>
      <c r="F9" s="20"/>
      <c r="G9" s="21"/>
      <c r="H9" s="21"/>
      <c r="I9" s="17"/>
      <c r="J9" s="21">
        <f t="shared" si="1"/>
        <v>0</v>
      </c>
    </row>
    <row r="10" spans="1:10" ht="18" customHeight="1" x14ac:dyDescent="0.25">
      <c r="A10" s="22"/>
      <c r="B10" s="19"/>
      <c r="C10" s="19"/>
      <c r="D10" s="20"/>
      <c r="E10" s="20"/>
      <c r="F10" s="20"/>
      <c r="G10" s="21"/>
      <c r="H10" s="21"/>
      <c r="I10" s="17"/>
      <c r="J10" s="21">
        <f t="shared" si="1"/>
        <v>0</v>
      </c>
    </row>
    <row r="11" spans="1:10" ht="18" customHeight="1" x14ac:dyDescent="0.25">
      <c r="A11" s="22"/>
      <c r="B11" s="18"/>
      <c r="C11" s="18"/>
      <c r="D11" s="20"/>
      <c r="E11" s="20"/>
      <c r="F11" s="20"/>
      <c r="G11" s="21"/>
      <c r="H11" s="21"/>
      <c r="I11" s="17"/>
      <c r="J11" s="21">
        <f t="shared" si="1"/>
        <v>0</v>
      </c>
    </row>
    <row r="12" spans="1:10" ht="18" customHeight="1" x14ac:dyDescent="0.25">
      <c r="A12" s="22"/>
      <c r="B12" s="19"/>
      <c r="C12" s="19"/>
      <c r="D12" s="20"/>
      <c r="E12" s="20"/>
      <c r="F12" s="20"/>
      <c r="G12" s="21"/>
      <c r="H12" s="21"/>
      <c r="I12" s="17"/>
      <c r="J12" s="21">
        <f t="shared" si="1"/>
        <v>0</v>
      </c>
    </row>
    <row r="13" spans="1:10" ht="18" customHeight="1" x14ac:dyDescent="0.25">
      <c r="A13" s="17"/>
      <c r="B13" s="19"/>
      <c r="C13" s="19"/>
      <c r="D13" s="20"/>
      <c r="E13" s="20"/>
      <c r="F13" s="20"/>
      <c r="G13" s="21"/>
      <c r="H13" s="21"/>
      <c r="I13" s="17"/>
      <c r="J13" s="21">
        <f t="shared" si="1"/>
        <v>0</v>
      </c>
    </row>
    <row r="14" spans="1:10" ht="18" customHeight="1" x14ac:dyDescent="0.25">
      <c r="A14" s="22"/>
      <c r="B14" s="19"/>
      <c r="C14" s="19"/>
      <c r="D14" s="20"/>
      <c r="E14" s="20"/>
      <c r="F14" s="20"/>
      <c r="G14" s="21"/>
      <c r="H14" s="21"/>
      <c r="I14" s="17"/>
      <c r="J14" s="21">
        <f t="shared" si="1"/>
        <v>0</v>
      </c>
    </row>
    <row r="15" spans="1:10" ht="18" customHeight="1" x14ac:dyDescent="0.25">
      <c r="A15" s="22"/>
      <c r="B15" s="19"/>
      <c r="C15" s="19"/>
      <c r="D15" s="20"/>
      <c r="E15" s="20"/>
      <c r="F15" s="20"/>
      <c r="G15" s="21"/>
      <c r="H15" s="21"/>
      <c r="I15" s="17"/>
      <c r="J15" s="21">
        <f t="shared" si="1"/>
        <v>0</v>
      </c>
    </row>
    <row r="16" spans="1:10" ht="18" customHeight="1" x14ac:dyDescent="0.25">
      <c r="A16" s="22"/>
      <c r="B16" s="19"/>
      <c r="C16" s="19"/>
      <c r="D16" s="20"/>
      <c r="E16" s="20"/>
      <c r="F16" s="20"/>
      <c r="G16" s="21"/>
      <c r="H16" s="21"/>
      <c r="I16" s="17"/>
      <c r="J16" s="21">
        <f t="shared" si="1"/>
        <v>0</v>
      </c>
    </row>
    <row r="17" spans="1:10" ht="18" customHeight="1" x14ac:dyDescent="0.25">
      <c r="A17" s="22"/>
      <c r="B17" s="19"/>
      <c r="C17" s="19"/>
      <c r="D17" s="20"/>
      <c r="E17" s="20"/>
      <c r="F17" s="20"/>
      <c r="G17" s="21"/>
      <c r="H17" s="21"/>
      <c r="I17" s="17"/>
      <c r="J17" s="21">
        <f t="shared" si="1"/>
        <v>0</v>
      </c>
    </row>
    <row r="18" spans="1:10" ht="18" customHeight="1" x14ac:dyDescent="0.25">
      <c r="A18" s="22"/>
      <c r="B18" s="19"/>
      <c r="C18" s="19"/>
      <c r="D18" s="20"/>
      <c r="E18" s="20"/>
      <c r="F18" s="20"/>
      <c r="G18" s="21"/>
      <c r="H18" s="21"/>
      <c r="I18" s="17"/>
      <c r="J18" s="21">
        <f t="shared" si="1"/>
        <v>0</v>
      </c>
    </row>
    <row r="19" spans="1:10" ht="18" customHeight="1" x14ac:dyDescent="0.25">
      <c r="A19" s="22"/>
      <c r="B19" s="19"/>
      <c r="C19" s="19"/>
      <c r="D19" s="20"/>
      <c r="E19" s="20"/>
      <c r="F19" s="20"/>
      <c r="G19" s="21"/>
      <c r="H19" s="21"/>
      <c r="I19" s="17"/>
      <c r="J19" s="21">
        <f t="shared" si="1"/>
        <v>0</v>
      </c>
    </row>
    <row r="20" spans="1:10" ht="18" customHeight="1" x14ac:dyDescent="0.25">
      <c r="A20" s="22"/>
      <c r="B20" s="19"/>
      <c r="C20" s="19"/>
      <c r="D20" s="20"/>
      <c r="E20" s="20"/>
      <c r="F20" s="20"/>
      <c r="G20" s="21"/>
      <c r="H20" s="21"/>
      <c r="I20" s="17"/>
      <c r="J20" s="21">
        <f t="shared" si="1"/>
        <v>0</v>
      </c>
    </row>
    <row r="21" spans="1:10" ht="18" customHeight="1" x14ac:dyDescent="0.25">
      <c r="A21" s="22"/>
      <c r="B21" s="19"/>
      <c r="C21" s="19"/>
      <c r="D21" s="20"/>
      <c r="E21" s="20"/>
      <c r="F21" s="20"/>
      <c r="G21" s="21"/>
      <c r="H21" s="21"/>
      <c r="I21" s="17"/>
      <c r="J21" s="21">
        <f t="shared" si="1"/>
        <v>0</v>
      </c>
    </row>
    <row r="22" spans="1:10" ht="18" customHeight="1" x14ac:dyDescent="0.25">
      <c r="A22" s="22"/>
      <c r="B22" s="19"/>
      <c r="C22" s="19"/>
      <c r="D22" s="20"/>
      <c r="E22" s="20"/>
      <c r="F22" s="20"/>
      <c r="G22" s="21"/>
      <c r="H22" s="21"/>
      <c r="I22" s="17"/>
      <c r="J22" s="21">
        <f t="shared" si="1"/>
        <v>0</v>
      </c>
    </row>
    <row r="23" spans="1:10" ht="18" customHeight="1" x14ac:dyDescent="0.25">
      <c r="A23" s="22"/>
      <c r="B23" s="19"/>
      <c r="C23" s="19"/>
      <c r="D23" s="20"/>
      <c r="E23" s="20"/>
      <c r="F23" s="20"/>
      <c r="G23" s="21"/>
      <c r="H23" s="21"/>
      <c r="I23" s="17"/>
      <c r="J23" s="21">
        <f t="shared" si="1"/>
        <v>0</v>
      </c>
    </row>
    <row r="24" spans="1:10" ht="18" customHeight="1" x14ac:dyDescent="0.25">
      <c r="A24" s="22"/>
      <c r="B24" s="19"/>
      <c r="C24" s="19"/>
      <c r="D24" s="20"/>
      <c r="E24" s="20"/>
      <c r="F24" s="20"/>
      <c r="G24" s="21"/>
      <c r="H24" s="21"/>
      <c r="I24" s="17"/>
      <c r="J24" s="21">
        <f t="shared" si="1"/>
        <v>0</v>
      </c>
    </row>
    <row r="25" spans="1:10" ht="18" customHeight="1" x14ac:dyDescent="0.25">
      <c r="A25" s="22"/>
      <c r="B25" s="19"/>
      <c r="C25" s="19"/>
      <c r="D25" s="20"/>
      <c r="E25" s="20"/>
      <c r="F25" s="20"/>
      <c r="G25" s="21"/>
      <c r="H25" s="21"/>
      <c r="I25" s="17"/>
      <c r="J25" s="21">
        <f t="shared" si="1"/>
        <v>0</v>
      </c>
    </row>
    <row r="26" spans="1:10" ht="18" customHeight="1" x14ac:dyDescent="0.25">
      <c r="A26" s="22"/>
      <c r="B26" s="19"/>
      <c r="C26" s="19"/>
      <c r="D26" s="20"/>
      <c r="E26" s="20"/>
      <c r="F26" s="20"/>
      <c r="G26" s="21"/>
      <c r="H26" s="21"/>
      <c r="I26" s="17"/>
      <c r="J26" s="21">
        <f t="shared" si="1"/>
        <v>0</v>
      </c>
    </row>
    <row r="27" spans="1:10" ht="18" customHeight="1" x14ac:dyDescent="0.25">
      <c r="A27" s="22"/>
      <c r="B27" s="19"/>
      <c r="C27" s="19"/>
      <c r="D27" s="20"/>
      <c r="E27" s="20"/>
      <c r="F27" s="20"/>
      <c r="G27" s="21"/>
      <c r="H27" s="21"/>
      <c r="I27" s="17"/>
      <c r="J27" s="21">
        <f t="shared" si="1"/>
        <v>0</v>
      </c>
    </row>
    <row r="28" spans="1:10" ht="18" customHeight="1" x14ac:dyDescent="0.25">
      <c r="A28" s="22"/>
      <c r="B28" s="19"/>
      <c r="C28" s="19"/>
      <c r="D28" s="20"/>
      <c r="E28" s="20"/>
      <c r="F28" s="20"/>
      <c r="G28" s="21"/>
      <c r="H28" s="21"/>
      <c r="I28" s="17"/>
      <c r="J28" s="21">
        <f t="shared" si="1"/>
        <v>0</v>
      </c>
    </row>
    <row r="29" spans="1:10" ht="18" customHeight="1" x14ac:dyDescent="0.25">
      <c r="A29" s="22"/>
      <c r="B29" s="19"/>
      <c r="C29" s="19"/>
      <c r="D29" s="20"/>
      <c r="E29" s="20"/>
      <c r="F29" s="20"/>
      <c r="G29" s="21"/>
      <c r="H29" s="21"/>
      <c r="I29" s="17"/>
      <c r="J29" s="21">
        <f t="shared" si="1"/>
        <v>0</v>
      </c>
    </row>
    <row r="30" spans="1:10" ht="18" customHeight="1" x14ac:dyDescent="0.25">
      <c r="A30" s="22"/>
      <c r="B30" s="19"/>
      <c r="C30" s="19"/>
      <c r="D30" s="20"/>
      <c r="E30" s="20"/>
      <c r="F30" s="20"/>
      <c r="G30" s="21"/>
      <c r="H30" s="21"/>
      <c r="I30" s="17"/>
      <c r="J30" s="21">
        <f t="shared" si="1"/>
        <v>0</v>
      </c>
    </row>
    <row r="31" spans="1:10" ht="18" customHeight="1" x14ac:dyDescent="0.25">
      <c r="A31" s="22"/>
      <c r="B31" s="19"/>
      <c r="C31" s="19"/>
      <c r="D31" s="20"/>
      <c r="E31" s="20"/>
      <c r="F31" s="20"/>
      <c r="G31" s="21"/>
      <c r="H31" s="21"/>
      <c r="I31" s="17"/>
      <c r="J31" s="21">
        <f t="shared" si="1"/>
        <v>0</v>
      </c>
    </row>
    <row r="32" spans="1:10" ht="18" customHeight="1" x14ac:dyDescent="0.25">
      <c r="A32" s="22"/>
      <c r="B32" s="19"/>
      <c r="C32" s="19"/>
      <c r="D32" s="20"/>
      <c r="E32" s="20"/>
      <c r="F32" s="20"/>
      <c r="G32" s="21"/>
      <c r="H32" s="21"/>
      <c r="I32" s="17"/>
      <c r="J32" s="21">
        <f t="shared" si="1"/>
        <v>0</v>
      </c>
    </row>
    <row r="33" spans="1:10" ht="18" customHeight="1" x14ac:dyDescent="0.25">
      <c r="A33" s="22"/>
      <c r="B33" s="19"/>
      <c r="C33" s="19"/>
      <c r="D33" s="20"/>
      <c r="E33" s="20"/>
      <c r="F33" s="20"/>
      <c r="G33" s="21"/>
      <c r="H33" s="21"/>
      <c r="I33" s="17"/>
      <c r="J33" s="21">
        <f t="shared" si="1"/>
        <v>0</v>
      </c>
    </row>
    <row r="34" spans="1:10" ht="18" customHeight="1" x14ac:dyDescent="0.25">
      <c r="A34" s="22"/>
      <c r="B34" s="19"/>
      <c r="C34" s="19"/>
      <c r="D34" s="20"/>
      <c r="E34" s="20"/>
      <c r="F34" s="20"/>
      <c r="G34" s="21"/>
      <c r="H34" s="21"/>
      <c r="I34" s="17"/>
      <c r="J34" s="21">
        <f t="shared" si="1"/>
        <v>0</v>
      </c>
    </row>
    <row r="35" spans="1:10" ht="18" customHeight="1" x14ac:dyDescent="0.25">
      <c r="A35" s="22"/>
      <c r="B35" s="19"/>
      <c r="C35" s="19"/>
      <c r="D35" s="20"/>
      <c r="E35" s="20"/>
      <c r="F35" s="20"/>
      <c r="G35" s="21"/>
      <c r="H35" s="21"/>
      <c r="I35" s="17"/>
      <c r="J35" s="21">
        <f t="shared" si="1"/>
        <v>0</v>
      </c>
    </row>
    <row r="36" spans="1:10" ht="18" customHeight="1" x14ac:dyDescent="0.25">
      <c r="A36" s="22"/>
      <c r="B36" s="19"/>
      <c r="C36" s="19"/>
      <c r="D36" s="20"/>
      <c r="E36" s="20"/>
      <c r="F36" s="20"/>
      <c r="G36" s="21"/>
      <c r="H36" s="21"/>
      <c r="I36" s="17"/>
      <c r="J36" s="21">
        <f t="shared" si="1"/>
        <v>0</v>
      </c>
    </row>
    <row r="37" spans="1:10" ht="18" customHeight="1" x14ac:dyDescent="0.25">
      <c r="A37" s="22"/>
      <c r="B37" s="19"/>
      <c r="C37" s="19"/>
      <c r="D37" s="20"/>
      <c r="E37" s="20"/>
      <c r="F37" s="20"/>
      <c r="G37" s="21"/>
      <c r="H37" s="21"/>
      <c r="I37" s="17"/>
      <c r="J37" s="21">
        <f t="shared" si="1"/>
        <v>0</v>
      </c>
    </row>
    <row r="38" spans="1:10" ht="18" customHeight="1" x14ac:dyDescent="0.25">
      <c r="A38" s="22"/>
      <c r="B38" s="19"/>
      <c r="C38" s="19"/>
      <c r="D38" s="20"/>
      <c r="E38" s="20"/>
      <c r="F38" s="20"/>
      <c r="G38" s="21"/>
      <c r="H38" s="21"/>
      <c r="I38" s="17"/>
      <c r="J38" s="21">
        <f t="shared" si="1"/>
        <v>0</v>
      </c>
    </row>
    <row r="39" spans="1:10" ht="18" customHeight="1" x14ac:dyDescent="0.25">
      <c r="A39" s="22"/>
      <c r="B39" s="19"/>
      <c r="C39" s="19"/>
      <c r="D39" s="20"/>
      <c r="E39" s="20"/>
      <c r="F39" s="20"/>
      <c r="G39" s="21"/>
      <c r="H39" s="21"/>
      <c r="I39" s="17"/>
      <c r="J39" s="21">
        <f t="shared" si="1"/>
        <v>0</v>
      </c>
    </row>
    <row r="40" spans="1:10" ht="18" customHeight="1" x14ac:dyDescent="0.25">
      <c r="A40" s="22"/>
      <c r="B40" s="19"/>
      <c r="C40" s="19"/>
      <c r="D40" s="20"/>
      <c r="E40" s="20"/>
      <c r="F40" s="20"/>
      <c r="G40" s="21"/>
      <c r="H40" s="21"/>
      <c r="I40" s="17"/>
      <c r="J40" s="21">
        <f t="shared" si="1"/>
        <v>0</v>
      </c>
    </row>
    <row r="41" spans="1:10" ht="18" customHeight="1" x14ac:dyDescent="0.25">
      <c r="A41" s="22"/>
      <c r="B41" s="19"/>
      <c r="C41" s="19"/>
      <c r="D41" s="20"/>
      <c r="E41" s="20"/>
      <c r="F41" s="20"/>
      <c r="G41" s="21"/>
      <c r="H41" s="21"/>
      <c r="I41" s="17"/>
      <c r="J41" s="21">
        <f t="shared" si="1"/>
        <v>0</v>
      </c>
    </row>
    <row r="42" spans="1:10" ht="18" customHeight="1" x14ac:dyDescent="0.25">
      <c r="A42" s="22"/>
      <c r="B42" s="19"/>
      <c r="C42" s="19"/>
      <c r="D42" s="20"/>
      <c r="E42" s="20"/>
      <c r="F42" s="20"/>
      <c r="G42" s="21"/>
      <c r="H42" s="21"/>
      <c r="I42" s="17"/>
      <c r="J42" s="21">
        <f t="shared" si="1"/>
        <v>0</v>
      </c>
    </row>
    <row r="43" spans="1:10" ht="18" customHeight="1" x14ac:dyDescent="0.25">
      <c r="A43" s="22"/>
      <c r="B43" s="19"/>
      <c r="C43" s="19"/>
      <c r="D43" s="20"/>
      <c r="E43" s="20"/>
      <c r="F43" s="20"/>
      <c r="G43" s="21"/>
      <c r="H43" s="21"/>
      <c r="I43" s="17"/>
      <c r="J43" s="21">
        <f t="shared" si="1"/>
        <v>0</v>
      </c>
    </row>
    <row r="44" spans="1:10" ht="18" customHeight="1" x14ac:dyDescent="0.25">
      <c r="A44" s="22"/>
      <c r="B44" s="19"/>
      <c r="C44" s="19"/>
      <c r="D44" s="20"/>
      <c r="E44" s="20"/>
      <c r="F44" s="20"/>
      <c r="G44" s="21"/>
      <c r="H44" s="21"/>
      <c r="I44" s="17"/>
      <c r="J44" s="21">
        <f t="shared" si="1"/>
        <v>0</v>
      </c>
    </row>
    <row r="45" spans="1:10" ht="18" customHeight="1" x14ac:dyDescent="0.25">
      <c r="A45" s="22"/>
      <c r="B45" s="19"/>
      <c r="C45" s="19"/>
      <c r="D45" s="20"/>
      <c r="E45" s="20"/>
      <c r="F45" s="20"/>
      <c r="G45" s="21"/>
      <c r="H45" s="21"/>
      <c r="I45" s="17"/>
      <c r="J45" s="21">
        <f t="shared" si="1"/>
        <v>0</v>
      </c>
    </row>
    <row r="46" spans="1:10" ht="18" customHeight="1" x14ac:dyDescent="0.25">
      <c r="A46" s="22"/>
      <c r="B46" s="19"/>
      <c r="C46" s="19"/>
      <c r="D46" s="20"/>
      <c r="E46" s="20"/>
      <c r="F46" s="20"/>
      <c r="G46" s="21"/>
      <c r="H46" s="21"/>
      <c r="I46" s="17"/>
      <c r="J46" s="21">
        <f t="shared" si="1"/>
        <v>0</v>
      </c>
    </row>
    <row r="47" spans="1:10" ht="18" customHeight="1" x14ac:dyDescent="0.25">
      <c r="A47" s="22"/>
      <c r="B47" s="17"/>
      <c r="C47" s="17"/>
      <c r="D47" s="20"/>
      <c r="E47" s="20"/>
      <c r="F47" s="20"/>
      <c r="G47" s="21"/>
      <c r="H47" s="21"/>
      <c r="I47" s="17"/>
      <c r="J47" s="21">
        <f t="shared" si="1"/>
        <v>0</v>
      </c>
    </row>
    <row r="48" spans="1:10" ht="18" customHeight="1" x14ac:dyDescent="0.25">
      <c r="A48" s="22"/>
      <c r="B48" s="17"/>
      <c r="C48" s="17"/>
      <c r="D48" s="20"/>
      <c r="E48" s="20"/>
      <c r="F48" s="20"/>
      <c r="G48" s="21"/>
      <c r="H48" s="21"/>
      <c r="I48" s="17"/>
      <c r="J48" s="21">
        <f t="shared" si="1"/>
        <v>0</v>
      </c>
    </row>
    <row r="49" spans="1:10" ht="18" customHeight="1" x14ac:dyDescent="0.25">
      <c r="A49" s="22"/>
      <c r="B49" s="19"/>
      <c r="C49" s="19"/>
      <c r="D49" s="20"/>
      <c r="E49" s="20"/>
      <c r="F49" s="20"/>
      <c r="G49" s="21"/>
      <c r="H49" s="21"/>
      <c r="I49" s="17"/>
      <c r="J49" s="21">
        <f t="shared" si="1"/>
        <v>0</v>
      </c>
    </row>
    <row r="50" spans="1:10" ht="18" customHeight="1" x14ac:dyDescent="0.25">
      <c r="A50" s="22"/>
      <c r="B50" s="19"/>
      <c r="C50" s="19"/>
      <c r="D50" s="20"/>
      <c r="E50" s="20"/>
      <c r="F50" s="20"/>
      <c r="G50" s="21"/>
      <c r="H50" s="21"/>
      <c r="I50" s="17"/>
      <c r="J50" s="21">
        <f t="shared" si="1"/>
        <v>0</v>
      </c>
    </row>
    <row r="51" spans="1:10" ht="18" customHeight="1" x14ac:dyDescent="0.25">
      <c r="A51" s="22"/>
      <c r="B51" s="19"/>
      <c r="C51" s="19"/>
      <c r="D51" s="20"/>
      <c r="E51" s="20"/>
      <c r="F51" s="20"/>
      <c r="G51" s="21"/>
      <c r="H51" s="21"/>
      <c r="I51" s="17"/>
      <c r="J51" s="21">
        <f t="shared" si="1"/>
        <v>0</v>
      </c>
    </row>
    <row r="52" spans="1:10" ht="18" customHeight="1" x14ac:dyDescent="0.25">
      <c r="A52" s="22"/>
      <c r="B52" s="19"/>
      <c r="C52" s="19"/>
      <c r="D52" s="20"/>
      <c r="E52" s="20"/>
      <c r="F52" s="20"/>
      <c r="G52" s="21"/>
      <c r="H52" s="21"/>
      <c r="I52" s="17"/>
      <c r="J52" s="21">
        <f t="shared" si="1"/>
        <v>0</v>
      </c>
    </row>
    <row r="53" spans="1:10" ht="18" customHeight="1" x14ac:dyDescent="0.25">
      <c r="A53" s="22"/>
      <c r="B53" s="19"/>
      <c r="C53" s="19"/>
      <c r="D53" s="20"/>
      <c r="E53" s="20"/>
      <c r="F53" s="20"/>
      <c r="G53" s="21"/>
      <c r="H53" s="21"/>
      <c r="I53" s="17"/>
      <c r="J53" s="21">
        <f t="shared" si="1"/>
        <v>0</v>
      </c>
    </row>
    <row r="54" spans="1:10" ht="18" customHeight="1" x14ac:dyDescent="0.25">
      <c r="A54" s="22"/>
      <c r="B54" s="19"/>
      <c r="C54" s="19"/>
      <c r="D54" s="20"/>
      <c r="E54" s="20"/>
      <c r="F54" s="20"/>
      <c r="G54" s="21"/>
      <c r="H54" s="21"/>
      <c r="I54" s="17"/>
      <c r="J54" s="21">
        <f t="shared" si="1"/>
        <v>0</v>
      </c>
    </row>
    <row r="55" spans="1:10" ht="18" customHeight="1" x14ac:dyDescent="0.25">
      <c r="A55" s="22"/>
      <c r="B55" s="19"/>
      <c r="C55" s="19"/>
      <c r="D55" s="20"/>
      <c r="E55" s="20"/>
      <c r="F55" s="20"/>
      <c r="G55" s="21"/>
      <c r="H55" s="21"/>
      <c r="I55" s="17"/>
      <c r="J55" s="21">
        <f t="shared" si="1"/>
        <v>0</v>
      </c>
    </row>
    <row r="56" spans="1:10" ht="18" customHeight="1" x14ac:dyDescent="0.25">
      <c r="A56" s="22"/>
      <c r="B56" s="19"/>
      <c r="C56" s="19"/>
      <c r="D56" s="20"/>
      <c r="E56" s="20"/>
      <c r="F56" s="20"/>
      <c r="G56" s="21"/>
      <c r="H56" s="21"/>
      <c r="I56" s="17"/>
      <c r="J56" s="21">
        <f t="shared" si="1"/>
        <v>0</v>
      </c>
    </row>
    <row r="57" spans="1:10" ht="18" customHeight="1" x14ac:dyDescent="0.25">
      <c r="A57" s="22"/>
      <c r="B57" s="19"/>
      <c r="C57" s="19"/>
      <c r="D57" s="20"/>
      <c r="E57" s="20"/>
      <c r="F57" s="20"/>
      <c r="G57" s="21"/>
      <c r="H57" s="21"/>
      <c r="I57" s="17"/>
      <c r="J57" s="21">
        <f t="shared" si="1"/>
        <v>0</v>
      </c>
    </row>
    <row r="58" spans="1:10" ht="18" customHeight="1" x14ac:dyDescent="0.25">
      <c r="A58" s="22"/>
      <c r="B58" s="19"/>
      <c r="C58" s="19"/>
      <c r="D58" s="20"/>
      <c r="E58" s="20"/>
      <c r="F58" s="20"/>
      <c r="G58" s="21"/>
      <c r="H58" s="21"/>
      <c r="I58" s="17"/>
      <c r="J58" s="21">
        <f t="shared" si="1"/>
        <v>0</v>
      </c>
    </row>
    <row r="59" spans="1:10" ht="18" customHeight="1" x14ac:dyDescent="0.25">
      <c r="A59" s="22"/>
      <c r="B59" s="19"/>
      <c r="C59" s="19"/>
      <c r="D59" s="20"/>
      <c r="E59" s="20"/>
      <c r="F59" s="20"/>
      <c r="G59" s="21"/>
      <c r="H59" s="21"/>
      <c r="I59" s="17"/>
      <c r="J59" s="21">
        <f t="shared" si="1"/>
        <v>0</v>
      </c>
    </row>
    <row r="60" spans="1:10" ht="18" customHeight="1" x14ac:dyDescent="0.25">
      <c r="A60" s="22"/>
      <c r="B60" s="19"/>
      <c r="C60" s="19"/>
      <c r="D60" s="20"/>
      <c r="E60" s="20"/>
      <c r="F60" s="20"/>
      <c r="G60" s="25"/>
      <c r="H60" s="17"/>
      <c r="I60" s="17"/>
      <c r="J60" s="21">
        <f t="shared" si="1"/>
        <v>0</v>
      </c>
    </row>
    <row r="61" spans="1:10" ht="18" customHeight="1" x14ac:dyDescent="0.25">
      <c r="A61" s="22"/>
      <c r="B61" s="19"/>
      <c r="C61" s="19"/>
      <c r="D61" s="20"/>
      <c r="E61" s="20"/>
      <c r="F61" s="20"/>
      <c r="G61" s="25"/>
      <c r="H61" s="17"/>
      <c r="I61" s="17"/>
      <c r="J61" s="21">
        <f t="shared" si="1"/>
        <v>0</v>
      </c>
    </row>
    <row r="62" spans="1:10" ht="18" customHeight="1" x14ac:dyDescent="0.25">
      <c r="A62" s="22"/>
      <c r="B62" s="19"/>
      <c r="C62" s="19"/>
      <c r="D62" s="20"/>
      <c r="E62" s="20"/>
      <c r="F62" s="20"/>
      <c r="G62" s="25"/>
      <c r="H62" s="17"/>
      <c r="I62" s="17"/>
      <c r="J62" s="21">
        <f t="shared" si="1"/>
        <v>0</v>
      </c>
    </row>
    <row r="63" spans="1:10" ht="18" customHeight="1" x14ac:dyDescent="0.25">
      <c r="A63" s="22"/>
      <c r="B63" s="19"/>
      <c r="C63" s="19"/>
      <c r="D63" s="20"/>
      <c r="E63" s="20"/>
      <c r="F63" s="20"/>
      <c r="G63" s="20"/>
      <c r="H63" s="20"/>
      <c r="I63" s="17"/>
      <c r="J63" s="21">
        <f t="shared" si="1"/>
        <v>0</v>
      </c>
    </row>
    <row r="64" spans="1:10" ht="18" customHeight="1" x14ac:dyDescent="0.25">
      <c r="A64" s="22"/>
      <c r="B64" s="19"/>
      <c r="C64" s="19"/>
      <c r="D64" s="20"/>
      <c r="E64" s="20"/>
      <c r="F64" s="20"/>
      <c r="G64" s="20"/>
      <c r="H64" s="20"/>
      <c r="I64" s="17"/>
      <c r="J64" s="21">
        <f t="shared" si="1"/>
        <v>0</v>
      </c>
    </row>
    <row r="65" spans="1:10" ht="18" customHeight="1" x14ac:dyDescent="0.25">
      <c r="A65" s="22"/>
      <c r="B65" s="19"/>
      <c r="C65" s="19"/>
      <c r="D65" s="20"/>
      <c r="E65" s="20"/>
      <c r="F65" s="20"/>
      <c r="G65" s="20"/>
      <c r="H65" s="20"/>
      <c r="I65" s="17"/>
      <c r="J65" s="21">
        <f t="shared" si="1"/>
        <v>0</v>
      </c>
    </row>
    <row r="66" spans="1:10" ht="18" customHeight="1" x14ac:dyDescent="0.25">
      <c r="A66" s="22"/>
      <c r="B66" s="19"/>
      <c r="C66" s="19"/>
      <c r="D66" s="20"/>
      <c r="E66" s="20"/>
      <c r="F66" s="20"/>
      <c r="G66" s="20"/>
      <c r="H66" s="20"/>
      <c r="I66" s="17"/>
      <c r="J66" s="21">
        <f t="shared" si="1"/>
        <v>0</v>
      </c>
    </row>
    <row r="67" spans="1:10" ht="18" customHeight="1" x14ac:dyDescent="0.25">
      <c r="A67" s="22"/>
      <c r="B67" s="19"/>
      <c r="C67" s="19"/>
      <c r="D67" s="20"/>
      <c r="E67" s="20"/>
      <c r="F67" s="20"/>
      <c r="G67" s="20"/>
      <c r="H67" s="20"/>
      <c r="I67" s="17"/>
      <c r="J67" s="21">
        <f t="shared" si="1"/>
        <v>0</v>
      </c>
    </row>
    <row r="68" spans="1:10" ht="18" customHeight="1" x14ac:dyDescent="0.25">
      <c r="A68" s="22"/>
      <c r="B68" s="19"/>
      <c r="C68" s="19"/>
      <c r="D68" s="20"/>
      <c r="E68" s="20"/>
      <c r="F68" s="20"/>
      <c r="G68" s="20"/>
      <c r="H68" s="20"/>
      <c r="I68" s="17"/>
      <c r="J68" s="21">
        <f t="shared" si="1"/>
        <v>0</v>
      </c>
    </row>
    <row r="69" spans="1:10" ht="18" customHeight="1" x14ac:dyDescent="0.25">
      <c r="A69" s="22"/>
      <c r="B69" s="19"/>
      <c r="C69" s="19"/>
      <c r="D69" s="20"/>
      <c r="E69" s="20"/>
      <c r="F69" s="20"/>
      <c r="G69" s="20"/>
      <c r="H69" s="20"/>
      <c r="I69" s="17"/>
      <c r="J69" s="21">
        <f t="shared" si="1"/>
        <v>0</v>
      </c>
    </row>
    <row r="70" spans="1:10" ht="18" customHeight="1" x14ac:dyDescent="0.25">
      <c r="A70" s="22"/>
      <c r="B70" s="19"/>
      <c r="C70" s="19"/>
      <c r="D70" s="20"/>
      <c r="E70" s="20"/>
      <c r="F70" s="20"/>
      <c r="G70" s="20"/>
      <c r="H70" s="20"/>
      <c r="I70" s="17"/>
      <c r="J70" s="21">
        <f t="shared" si="1"/>
        <v>0</v>
      </c>
    </row>
    <row r="71" spans="1:10" ht="18" customHeight="1" x14ac:dyDescent="0.25">
      <c r="A71" s="22"/>
      <c r="B71" s="19"/>
      <c r="C71" s="19"/>
      <c r="D71" s="20"/>
      <c r="E71" s="20"/>
      <c r="F71" s="20"/>
      <c r="G71" s="20"/>
      <c r="H71" s="20"/>
      <c r="I71" s="17"/>
      <c r="J71" s="21">
        <f t="shared" si="1"/>
        <v>0</v>
      </c>
    </row>
    <row r="72" spans="1:10" ht="18" customHeight="1" x14ac:dyDescent="0.25">
      <c r="A72" s="22"/>
      <c r="B72" s="19"/>
      <c r="C72" s="19"/>
      <c r="D72" s="20"/>
      <c r="E72" s="20"/>
      <c r="F72" s="20"/>
      <c r="G72" s="20"/>
      <c r="H72" s="20"/>
      <c r="I72" s="17"/>
      <c r="J72" s="21">
        <f t="shared" si="1"/>
        <v>0</v>
      </c>
    </row>
    <row r="73" spans="1:10" ht="18" customHeight="1" x14ac:dyDescent="0.25">
      <c r="A73" s="22"/>
      <c r="B73" s="19"/>
      <c r="C73" s="19"/>
      <c r="D73" s="20"/>
      <c r="E73" s="20"/>
      <c r="F73" s="20"/>
      <c r="G73" s="20"/>
      <c r="H73" s="20"/>
      <c r="I73" s="17"/>
      <c r="J73" s="21">
        <f t="shared" si="1"/>
        <v>0</v>
      </c>
    </row>
    <row r="74" spans="1:10" ht="18" customHeight="1" x14ac:dyDescent="0.25">
      <c r="A74" s="22"/>
      <c r="B74" s="19"/>
      <c r="C74" s="19"/>
      <c r="D74" s="20"/>
      <c r="E74" s="20"/>
      <c r="F74" s="20"/>
      <c r="G74" s="20"/>
      <c r="H74" s="20"/>
      <c r="I74" s="17"/>
      <c r="J74" s="21">
        <f t="shared" si="1"/>
        <v>0</v>
      </c>
    </row>
    <row r="75" spans="1:10" ht="18" customHeight="1" x14ac:dyDescent="0.25">
      <c r="A75" s="22"/>
      <c r="B75" s="19"/>
      <c r="C75" s="19"/>
      <c r="D75" s="20"/>
      <c r="E75" s="20"/>
      <c r="F75" s="20"/>
      <c r="G75" s="20"/>
      <c r="H75" s="20"/>
      <c r="I75" s="17"/>
      <c r="J75" s="21">
        <f t="shared" si="1"/>
        <v>0</v>
      </c>
    </row>
    <row r="76" spans="1:10" ht="18" customHeight="1" x14ac:dyDescent="0.25">
      <c r="A76" s="22"/>
      <c r="B76" s="19"/>
      <c r="C76" s="19"/>
      <c r="D76" s="20"/>
      <c r="E76" s="20"/>
      <c r="F76" s="20"/>
      <c r="G76" s="20"/>
      <c r="H76" s="20"/>
      <c r="I76" s="17"/>
      <c r="J76" s="21">
        <f t="shared" si="1"/>
        <v>0</v>
      </c>
    </row>
    <row r="77" spans="1:10" ht="18" customHeight="1" x14ac:dyDescent="0.25">
      <c r="A77" s="22"/>
      <c r="B77" s="19"/>
      <c r="C77" s="19"/>
      <c r="D77" s="20"/>
      <c r="E77" s="20"/>
      <c r="F77" s="20"/>
      <c r="G77" s="20"/>
      <c r="H77" s="20"/>
      <c r="I77" s="17"/>
      <c r="J77" s="21">
        <f t="shared" si="1"/>
        <v>0</v>
      </c>
    </row>
    <row r="78" spans="1:10" ht="18" customHeight="1" x14ac:dyDescent="0.25">
      <c r="A78" s="22"/>
      <c r="B78" s="19"/>
      <c r="C78" s="19"/>
      <c r="D78" s="20"/>
      <c r="E78" s="20"/>
      <c r="F78" s="20"/>
      <c r="G78" s="20"/>
      <c r="H78" s="20"/>
      <c r="I78" s="17"/>
      <c r="J78" s="21">
        <f t="shared" si="1"/>
        <v>0</v>
      </c>
    </row>
    <row r="79" spans="1:10" ht="18" customHeight="1" x14ac:dyDescent="0.25">
      <c r="A79" s="22"/>
      <c r="B79" s="19"/>
      <c r="C79" s="19"/>
      <c r="D79" s="20"/>
      <c r="E79" s="20"/>
      <c r="F79" s="20"/>
      <c r="G79" s="20"/>
      <c r="H79" s="20"/>
      <c r="I79" s="17"/>
      <c r="J79" s="21">
        <f t="shared" si="1"/>
        <v>0</v>
      </c>
    </row>
    <row r="80" spans="1:10" ht="18" customHeight="1" x14ac:dyDescent="0.25">
      <c r="A80" s="22"/>
      <c r="B80" s="19"/>
      <c r="C80" s="19"/>
      <c r="D80" s="20"/>
      <c r="E80" s="20"/>
      <c r="F80" s="20"/>
      <c r="G80" s="20"/>
      <c r="H80" s="20"/>
      <c r="I80" s="17"/>
      <c r="J80" s="21">
        <f t="shared" si="1"/>
        <v>0</v>
      </c>
    </row>
    <row r="81" spans="1:10" ht="18" customHeight="1" x14ac:dyDescent="0.25">
      <c r="A81" s="22"/>
      <c r="B81" s="19"/>
      <c r="C81" s="19"/>
      <c r="D81" s="20"/>
      <c r="E81" s="20"/>
      <c r="F81" s="20"/>
      <c r="G81" s="20"/>
      <c r="H81" s="20"/>
      <c r="I81" s="17"/>
      <c r="J81" s="21">
        <f t="shared" si="1"/>
        <v>0</v>
      </c>
    </row>
    <row r="82" spans="1:10" ht="18" customHeight="1" x14ac:dyDescent="0.25">
      <c r="A82" s="22"/>
      <c r="B82" s="19"/>
      <c r="C82" s="19"/>
      <c r="D82" s="20"/>
      <c r="E82" s="20"/>
      <c r="F82" s="20"/>
      <c r="G82" s="20"/>
      <c r="H82" s="20"/>
      <c r="I82" s="17"/>
      <c r="J82" s="21">
        <f t="shared" si="1"/>
        <v>0</v>
      </c>
    </row>
    <row r="83" spans="1:10" ht="18" customHeight="1" x14ac:dyDescent="0.25">
      <c r="A83" s="22"/>
      <c r="B83" s="19"/>
      <c r="C83" s="19"/>
      <c r="D83" s="20"/>
      <c r="E83" s="20"/>
      <c r="F83" s="20"/>
      <c r="G83" s="20"/>
      <c r="H83" s="20"/>
      <c r="I83" s="17"/>
      <c r="J83" s="21">
        <f t="shared" si="1"/>
        <v>0</v>
      </c>
    </row>
    <row r="84" spans="1:10" ht="18" customHeight="1" x14ac:dyDescent="0.25">
      <c r="A84" s="22"/>
      <c r="B84" s="19"/>
      <c r="C84" s="19"/>
      <c r="D84" s="20"/>
      <c r="E84" s="20"/>
      <c r="F84" s="20"/>
      <c r="G84" s="20"/>
      <c r="H84" s="20"/>
      <c r="I84" s="17"/>
      <c r="J84" s="21">
        <f t="shared" si="1"/>
        <v>0</v>
      </c>
    </row>
    <row r="85" spans="1:10" ht="18" customHeight="1" x14ac:dyDescent="0.25">
      <c r="A85" s="22"/>
      <c r="B85" s="19"/>
      <c r="C85" s="19"/>
      <c r="D85" s="20"/>
      <c r="E85" s="20"/>
      <c r="F85" s="20"/>
      <c r="G85" s="20"/>
      <c r="H85" s="20"/>
      <c r="I85" s="17"/>
      <c r="J85" s="21">
        <f t="shared" si="1"/>
        <v>0</v>
      </c>
    </row>
    <row r="86" spans="1:10" ht="18" customHeight="1" x14ac:dyDescent="0.25">
      <c r="A86" s="22"/>
      <c r="B86" s="19"/>
      <c r="C86" s="19"/>
      <c r="D86" s="20"/>
      <c r="E86" s="20"/>
      <c r="F86" s="20"/>
      <c r="G86" s="20"/>
      <c r="H86" s="20"/>
      <c r="I86" s="17"/>
      <c r="J86" s="21">
        <f t="shared" si="1"/>
        <v>0</v>
      </c>
    </row>
    <row r="87" spans="1:10" ht="18" customHeight="1" x14ac:dyDescent="0.25">
      <c r="A87" s="22"/>
      <c r="B87" s="19"/>
      <c r="C87" s="19"/>
      <c r="D87" s="20"/>
      <c r="E87" s="20"/>
      <c r="F87" s="20"/>
      <c r="G87" s="20"/>
      <c r="H87" s="20"/>
      <c r="I87" s="17"/>
      <c r="J87" s="21">
        <f t="shared" si="1"/>
        <v>0</v>
      </c>
    </row>
    <row r="88" spans="1:10" ht="18" customHeight="1" x14ac:dyDescent="0.25">
      <c r="A88" s="22"/>
      <c r="B88" s="17"/>
      <c r="C88" s="17"/>
      <c r="D88" s="20"/>
      <c r="E88" s="20"/>
      <c r="F88" s="20"/>
      <c r="G88" s="20"/>
      <c r="H88" s="20"/>
      <c r="I88" s="17"/>
      <c r="J88" s="21">
        <f t="shared" si="1"/>
        <v>0</v>
      </c>
    </row>
    <row r="89" spans="1:10" ht="18" customHeight="1" x14ac:dyDescent="0.25">
      <c r="A89" s="22"/>
      <c r="B89" s="17"/>
      <c r="C89" s="17"/>
      <c r="D89" s="20"/>
      <c r="E89" s="20"/>
      <c r="F89" s="20"/>
      <c r="G89" s="20"/>
      <c r="H89" s="20"/>
      <c r="I89" s="17"/>
      <c r="J89" s="21">
        <f t="shared" si="1"/>
        <v>0</v>
      </c>
    </row>
    <row r="90" spans="1:10" ht="18" customHeight="1" x14ac:dyDescent="0.25">
      <c r="A90" s="22"/>
      <c r="B90" s="19"/>
      <c r="C90" s="19"/>
      <c r="D90" s="20"/>
      <c r="E90" s="20"/>
      <c r="F90" s="20"/>
      <c r="G90" s="20"/>
      <c r="H90" s="20"/>
      <c r="I90" s="17"/>
      <c r="J90" s="21">
        <f t="shared" si="1"/>
        <v>0</v>
      </c>
    </row>
    <row r="91" spans="1:10" ht="18" customHeight="1" x14ac:dyDescent="0.25">
      <c r="A91" s="22"/>
      <c r="B91" s="19"/>
      <c r="C91" s="19"/>
      <c r="D91" s="20"/>
      <c r="E91" s="20"/>
      <c r="F91" s="20"/>
      <c r="G91" s="20"/>
      <c r="H91" s="20"/>
      <c r="I91" s="17"/>
      <c r="J91" s="21">
        <f t="shared" si="1"/>
        <v>0</v>
      </c>
    </row>
    <row r="92" spans="1:10" ht="18" customHeight="1" x14ac:dyDescent="0.25">
      <c r="A92" s="22"/>
      <c r="B92" s="19"/>
      <c r="C92" s="19"/>
      <c r="D92" s="20"/>
      <c r="E92" s="20"/>
      <c r="F92" s="20"/>
      <c r="G92" s="20"/>
      <c r="H92" s="20"/>
      <c r="I92" s="17"/>
      <c r="J92" s="21">
        <f t="shared" si="1"/>
        <v>0</v>
      </c>
    </row>
    <row r="93" spans="1:10" ht="18" customHeight="1" x14ac:dyDescent="0.25">
      <c r="A93" s="22"/>
      <c r="B93" s="19"/>
      <c r="C93" s="19"/>
      <c r="D93" s="25"/>
      <c r="E93" s="26"/>
      <c r="F93" s="27"/>
      <c r="G93" s="25"/>
      <c r="H93" s="17"/>
      <c r="I93" s="17"/>
      <c r="J93" s="17">
        <f t="shared" si="1"/>
        <v>0</v>
      </c>
    </row>
    <row r="94" spans="1:10" ht="18" customHeight="1" x14ac:dyDescent="0.25">
      <c r="A94" s="22"/>
      <c r="B94" s="19"/>
      <c r="C94" s="19"/>
      <c r="D94" s="25"/>
      <c r="E94" s="26"/>
      <c r="F94" s="27"/>
      <c r="G94" s="25"/>
      <c r="H94" s="17"/>
      <c r="I94" s="17"/>
      <c r="J94" s="17">
        <f t="shared" si="1"/>
        <v>0</v>
      </c>
    </row>
    <row r="95" spans="1:10" ht="18" customHeight="1" x14ac:dyDescent="0.25">
      <c r="A95" s="22"/>
      <c r="B95" s="19"/>
      <c r="C95" s="19"/>
      <c r="D95" s="25"/>
      <c r="E95" s="26"/>
      <c r="F95" s="27"/>
      <c r="G95" s="25"/>
      <c r="H95" s="17"/>
      <c r="I95" s="17"/>
      <c r="J95" s="17">
        <f t="shared" si="1"/>
        <v>0</v>
      </c>
    </row>
    <row r="96" spans="1:10" ht="18" customHeight="1" x14ac:dyDescent="0.25">
      <c r="A96" s="22"/>
      <c r="B96" s="19"/>
      <c r="C96" s="19"/>
      <c r="D96" s="25"/>
      <c r="E96" s="26"/>
      <c r="F96" s="27"/>
      <c r="G96" s="25"/>
      <c r="H96" s="17"/>
      <c r="I96" s="17"/>
      <c r="J96" s="17">
        <f t="shared" si="1"/>
        <v>0</v>
      </c>
    </row>
    <row r="97" spans="1:10" ht="18" customHeight="1" x14ac:dyDescent="0.25">
      <c r="A97" s="22"/>
      <c r="B97" s="19"/>
      <c r="C97" s="19"/>
      <c r="D97" s="25"/>
      <c r="E97" s="26"/>
      <c r="F97" s="27"/>
      <c r="G97" s="25"/>
      <c r="H97" s="17"/>
      <c r="I97" s="17"/>
      <c r="J97" s="17">
        <f t="shared" si="1"/>
        <v>0</v>
      </c>
    </row>
    <row r="98" spans="1:10" ht="18" customHeight="1" x14ac:dyDescent="0.25">
      <c r="A98" s="22"/>
      <c r="B98" s="19"/>
      <c r="C98" s="19"/>
      <c r="D98" s="25"/>
      <c r="E98" s="26"/>
      <c r="F98" s="27"/>
      <c r="G98" s="25"/>
      <c r="H98" s="17"/>
      <c r="I98" s="17"/>
      <c r="J98" s="17">
        <f t="shared" si="1"/>
        <v>0</v>
      </c>
    </row>
    <row r="99" spans="1:10" ht="18" customHeight="1" x14ac:dyDescent="0.25">
      <c r="A99" s="22"/>
      <c r="B99" s="19"/>
      <c r="C99" s="19"/>
      <c r="D99" s="25"/>
      <c r="E99" s="26"/>
      <c r="F99" s="27"/>
      <c r="G99" s="25"/>
      <c r="H99" s="17"/>
      <c r="I99" s="17"/>
      <c r="J99" s="17">
        <f t="shared" si="1"/>
        <v>0</v>
      </c>
    </row>
    <row r="100" spans="1:10" ht="18" customHeight="1" x14ac:dyDescent="0.25">
      <c r="A100" s="22"/>
      <c r="B100" s="19"/>
      <c r="C100" s="19"/>
      <c r="D100" s="25"/>
      <c r="E100" s="26"/>
      <c r="F100" s="27"/>
      <c r="G100" s="25"/>
      <c r="H100" s="17"/>
      <c r="I100" s="17"/>
      <c r="J100" s="17"/>
    </row>
    <row r="101" spans="1:10" ht="18" customHeight="1" x14ac:dyDescent="0.25">
      <c r="A101" s="22"/>
      <c r="B101" s="19"/>
      <c r="C101" s="19"/>
      <c r="D101" s="25"/>
      <c r="E101" s="26"/>
      <c r="F101" s="27"/>
      <c r="G101" s="25"/>
      <c r="H101" s="17"/>
      <c r="I101" s="17"/>
      <c r="J101" s="17"/>
    </row>
    <row r="102" spans="1:10" ht="18" customHeight="1" x14ac:dyDescent="0.25">
      <c r="A102" s="22"/>
      <c r="B102" s="19"/>
      <c r="C102" s="19"/>
      <c r="D102" s="25"/>
      <c r="E102" s="26"/>
      <c r="F102" s="27"/>
      <c r="G102" s="25"/>
      <c r="H102" s="17"/>
      <c r="I102" s="17"/>
      <c r="J102" s="17"/>
    </row>
    <row r="103" spans="1:10" ht="18" customHeight="1" x14ac:dyDescent="0.25">
      <c r="A103" s="22"/>
      <c r="B103" s="19"/>
      <c r="C103" s="19"/>
      <c r="D103" s="25"/>
      <c r="E103" s="26"/>
      <c r="F103" s="27"/>
      <c r="G103" s="25"/>
      <c r="H103" s="17"/>
      <c r="I103" s="17"/>
      <c r="J103" s="17"/>
    </row>
    <row r="104" spans="1:10" ht="18" customHeight="1" x14ac:dyDescent="0.25">
      <c r="A104" s="22"/>
      <c r="B104" s="19"/>
      <c r="C104" s="19"/>
      <c r="D104" s="25"/>
      <c r="E104" s="26"/>
      <c r="F104" s="27"/>
      <c r="G104" s="25"/>
      <c r="H104" s="17"/>
      <c r="I104" s="17"/>
      <c r="J104" s="17"/>
    </row>
    <row r="105" spans="1:10" ht="18" customHeight="1" x14ac:dyDescent="0.25">
      <c r="A105" s="22"/>
      <c r="B105" s="19"/>
      <c r="C105" s="19"/>
      <c r="D105" s="25"/>
      <c r="E105" s="26"/>
      <c r="F105" s="27"/>
      <c r="G105" s="25"/>
      <c r="H105" s="17"/>
      <c r="I105" s="17"/>
      <c r="J105" s="17"/>
    </row>
    <row r="106" spans="1:10" ht="18" customHeight="1" x14ac:dyDescent="0.25">
      <c r="A106" s="22"/>
      <c r="B106" s="19"/>
      <c r="C106" s="19"/>
      <c r="D106" s="25"/>
      <c r="E106" s="26"/>
      <c r="F106" s="27"/>
      <c r="G106" s="25"/>
      <c r="H106" s="17"/>
      <c r="I106" s="17"/>
      <c r="J106" s="17"/>
    </row>
    <row r="107" spans="1:10" ht="18" customHeight="1" x14ac:dyDescent="0.25">
      <c r="A107" s="22"/>
      <c r="B107" s="19"/>
      <c r="C107" s="19"/>
      <c r="D107" s="25"/>
      <c r="E107" s="26"/>
      <c r="F107" s="27"/>
      <c r="G107" s="25"/>
      <c r="H107" s="17"/>
      <c r="I107" s="17"/>
      <c r="J107" s="17"/>
    </row>
    <row r="108" spans="1:10" ht="18" customHeight="1" x14ac:dyDescent="0.25">
      <c r="A108" s="22"/>
      <c r="B108" s="19"/>
      <c r="C108" s="19"/>
      <c r="D108" s="25"/>
      <c r="E108" s="26"/>
      <c r="F108" s="27"/>
      <c r="G108" s="25"/>
      <c r="H108" s="17"/>
      <c r="I108" s="17"/>
      <c r="J108" s="17"/>
    </row>
    <row r="109" spans="1:10" ht="18" customHeight="1" x14ac:dyDescent="0.25">
      <c r="A109" s="22"/>
      <c r="B109" s="19"/>
      <c r="C109" s="19"/>
      <c r="D109" s="25"/>
      <c r="E109" s="26"/>
      <c r="F109" s="27"/>
      <c r="G109" s="25"/>
      <c r="H109" s="17"/>
      <c r="I109" s="17"/>
      <c r="J109" s="17"/>
    </row>
    <row r="110" spans="1:10" ht="18" customHeight="1" x14ac:dyDescent="0.25">
      <c r="A110" s="22"/>
      <c r="B110" s="19"/>
      <c r="C110" s="19"/>
      <c r="D110" s="25"/>
      <c r="E110" s="26"/>
      <c r="F110" s="27"/>
      <c r="G110" s="25"/>
      <c r="H110" s="17"/>
      <c r="I110" s="17"/>
      <c r="J110" s="17"/>
    </row>
    <row r="111" spans="1:10" ht="18" customHeight="1" x14ac:dyDescent="0.25">
      <c r="A111" s="22"/>
      <c r="B111" s="19"/>
      <c r="C111" s="19"/>
      <c r="D111" s="25"/>
      <c r="E111" s="26"/>
      <c r="F111" s="27"/>
      <c r="G111" s="25"/>
      <c r="H111" s="17"/>
      <c r="I111" s="17"/>
      <c r="J111" s="17"/>
    </row>
    <row r="112" spans="1:10" ht="18" customHeight="1" x14ac:dyDescent="0.25">
      <c r="A112" s="22"/>
      <c r="B112" s="19"/>
      <c r="C112" s="19"/>
      <c r="D112" s="25"/>
      <c r="E112" s="26"/>
      <c r="F112" s="27"/>
      <c r="G112" s="25"/>
      <c r="H112" s="17"/>
      <c r="I112" s="17"/>
      <c r="J112" s="17"/>
    </row>
    <row r="113" spans="1:10" ht="18" customHeight="1" x14ac:dyDescent="0.25">
      <c r="A113" s="22"/>
      <c r="B113" s="19"/>
      <c r="C113" s="19"/>
      <c r="D113" s="25"/>
      <c r="E113" s="26"/>
      <c r="F113" s="27"/>
      <c r="G113" s="25"/>
      <c r="H113" s="17"/>
      <c r="I113" s="17"/>
      <c r="J113" s="17"/>
    </row>
    <row r="114" spans="1:10" ht="18" customHeight="1" x14ac:dyDescent="0.25">
      <c r="A114" s="22"/>
      <c r="B114" s="19"/>
      <c r="C114" s="19"/>
      <c r="D114" s="25"/>
      <c r="E114" s="26"/>
      <c r="F114" s="27"/>
      <c r="G114" s="25"/>
      <c r="H114" s="17"/>
      <c r="I114" s="17"/>
      <c r="J114" s="17"/>
    </row>
    <row r="115" spans="1:10" ht="18" customHeight="1" x14ac:dyDescent="0.25">
      <c r="A115" s="22"/>
      <c r="B115" s="19"/>
      <c r="C115" s="19"/>
      <c r="D115" s="25"/>
      <c r="E115" s="26"/>
      <c r="F115" s="27"/>
      <c r="G115" s="25"/>
      <c r="H115" s="17"/>
      <c r="I115" s="17"/>
      <c r="J115" s="17"/>
    </row>
    <row r="116" spans="1:10" ht="18" customHeight="1" x14ac:dyDescent="0.25">
      <c r="A116" s="22"/>
      <c r="B116" s="19"/>
      <c r="C116" s="19"/>
      <c r="D116" s="25"/>
      <c r="E116" s="26"/>
      <c r="F116" s="27"/>
      <c r="G116" s="25"/>
      <c r="H116" s="17"/>
      <c r="I116" s="17"/>
      <c r="J116" s="17"/>
    </row>
    <row r="117" spans="1:10" ht="18" customHeight="1" x14ac:dyDescent="0.25">
      <c r="A117" s="22"/>
      <c r="B117" s="19"/>
      <c r="C117" s="19"/>
      <c r="D117" s="25"/>
      <c r="E117" s="26"/>
      <c r="F117" s="27"/>
      <c r="G117" s="25"/>
      <c r="H117" s="17"/>
      <c r="I117" s="17"/>
      <c r="J117" s="17"/>
    </row>
    <row r="118" spans="1:10" ht="18" customHeight="1" x14ac:dyDescent="0.25">
      <c r="A118" s="22"/>
      <c r="B118" s="19"/>
      <c r="C118" s="19"/>
      <c r="D118" s="25"/>
      <c r="E118" s="26"/>
      <c r="F118" s="27"/>
      <c r="G118" s="25"/>
      <c r="H118" s="17"/>
      <c r="I118" s="17"/>
      <c r="J118" s="17"/>
    </row>
    <row r="119" spans="1:10" ht="18" customHeight="1" x14ac:dyDescent="0.25">
      <c r="A119" s="22"/>
      <c r="B119" s="19"/>
      <c r="C119" s="19"/>
      <c r="D119" s="25"/>
      <c r="E119" s="26"/>
      <c r="F119" s="27"/>
      <c r="G119" s="25"/>
      <c r="H119" s="17"/>
      <c r="I119" s="17"/>
      <c r="J119" s="17"/>
    </row>
    <row r="120" spans="1:10" ht="18" customHeight="1" x14ac:dyDescent="0.25">
      <c r="A120" s="22"/>
      <c r="B120" s="19"/>
      <c r="C120" s="19"/>
      <c r="D120" s="25"/>
      <c r="E120" s="26"/>
      <c r="F120" s="27"/>
      <c r="G120" s="25"/>
      <c r="H120" s="17"/>
      <c r="I120" s="17"/>
      <c r="J120" s="17"/>
    </row>
    <row r="121" spans="1:10" ht="18" customHeight="1" x14ac:dyDescent="0.25">
      <c r="A121" s="22"/>
      <c r="B121" s="19"/>
      <c r="C121" s="19"/>
      <c r="D121" s="25"/>
      <c r="E121" s="26"/>
      <c r="F121" s="27"/>
      <c r="G121" s="25"/>
      <c r="H121" s="17"/>
      <c r="I121" s="17"/>
      <c r="J121" s="17"/>
    </row>
    <row r="122" spans="1:10" ht="18" customHeight="1" x14ac:dyDescent="0.25">
      <c r="A122" s="22"/>
      <c r="B122" s="19"/>
      <c r="C122" s="19"/>
      <c r="D122" s="25"/>
      <c r="E122" s="26"/>
      <c r="F122" s="27"/>
      <c r="G122" s="25"/>
      <c r="H122" s="17"/>
      <c r="I122" s="17"/>
      <c r="J122" s="17"/>
    </row>
    <row r="123" spans="1:10" ht="18" customHeight="1" x14ac:dyDescent="0.25">
      <c r="A123" s="22"/>
      <c r="B123" s="17"/>
      <c r="C123" s="17"/>
      <c r="D123" s="25"/>
      <c r="E123" s="26"/>
      <c r="F123" s="27"/>
      <c r="G123" s="25"/>
      <c r="H123" s="17"/>
      <c r="I123" s="17"/>
      <c r="J123" s="17"/>
    </row>
    <row r="124" spans="1:10" ht="18" customHeight="1" x14ac:dyDescent="0.25">
      <c r="A124" s="22"/>
      <c r="B124" s="19"/>
      <c r="C124" s="19"/>
      <c r="D124" s="25"/>
      <c r="E124" s="26"/>
      <c r="F124" s="27"/>
      <c r="G124" s="25"/>
      <c r="H124" s="17"/>
      <c r="I124" s="17"/>
      <c r="J124" s="17"/>
    </row>
    <row r="125" spans="1:10" ht="18" customHeight="1" x14ac:dyDescent="0.25">
      <c r="A125" s="22"/>
      <c r="B125" s="19"/>
      <c r="C125" s="19"/>
      <c r="D125" s="25"/>
      <c r="E125" s="26"/>
      <c r="F125" s="27"/>
      <c r="G125" s="25"/>
      <c r="H125" s="17"/>
      <c r="I125" s="17"/>
      <c r="J125" s="17"/>
    </row>
    <row r="126" spans="1:10" ht="18" customHeight="1" x14ac:dyDescent="0.25">
      <c r="A126" s="22"/>
      <c r="B126" s="19"/>
      <c r="C126" s="19"/>
      <c r="D126" s="25"/>
      <c r="E126" s="26"/>
      <c r="F126" s="27"/>
      <c r="G126" s="25"/>
      <c r="H126" s="17"/>
      <c r="I126" s="17"/>
      <c r="J126" s="17"/>
    </row>
    <row r="127" spans="1:10" ht="18" customHeight="1" x14ac:dyDescent="0.25">
      <c r="A127" s="22"/>
      <c r="B127" s="19"/>
      <c r="C127" s="19"/>
      <c r="D127" s="25"/>
      <c r="E127" s="26"/>
      <c r="F127" s="27"/>
      <c r="G127" s="25"/>
      <c r="H127" s="17"/>
      <c r="I127" s="17"/>
      <c r="J127" s="17"/>
    </row>
    <row r="128" spans="1:10" ht="18" customHeight="1" x14ac:dyDescent="0.25">
      <c r="A128" s="22"/>
      <c r="B128" s="19"/>
      <c r="C128" s="19"/>
      <c r="D128" s="25"/>
      <c r="E128" s="26"/>
      <c r="F128" s="27"/>
      <c r="G128" s="25"/>
      <c r="H128" s="17"/>
      <c r="I128" s="17"/>
      <c r="J128" s="17"/>
    </row>
    <row r="129" spans="1:10" ht="18" customHeight="1" x14ac:dyDescent="0.25">
      <c r="A129" s="22"/>
      <c r="B129" s="19"/>
      <c r="C129" s="19"/>
      <c r="D129" s="25"/>
      <c r="E129" s="26"/>
      <c r="F129" s="27"/>
      <c r="G129" s="25"/>
      <c r="H129" s="17"/>
      <c r="I129" s="17"/>
      <c r="J129" s="17"/>
    </row>
    <row r="130" spans="1:10" ht="18" customHeight="1" x14ac:dyDescent="0.25">
      <c r="A130" s="22"/>
      <c r="B130" s="19"/>
      <c r="C130" s="19"/>
      <c r="D130" s="25"/>
      <c r="E130" s="26"/>
      <c r="F130" s="27"/>
      <c r="G130" s="25"/>
      <c r="H130" s="17"/>
      <c r="I130" s="17"/>
      <c r="J130" s="17"/>
    </row>
    <row r="131" spans="1:10" ht="18" customHeight="1" x14ac:dyDescent="0.25">
      <c r="A131" s="22"/>
      <c r="B131" s="19"/>
      <c r="C131" s="19"/>
      <c r="D131" s="25"/>
      <c r="E131" s="26"/>
      <c r="F131" s="27"/>
      <c r="G131" s="25"/>
      <c r="H131" s="17"/>
      <c r="I131" s="17"/>
      <c r="J131" s="17"/>
    </row>
    <row r="132" spans="1:10" ht="18" customHeight="1" x14ac:dyDescent="0.25">
      <c r="A132" s="22"/>
      <c r="B132" s="19"/>
      <c r="C132" s="19"/>
      <c r="D132" s="25"/>
      <c r="E132" s="26"/>
      <c r="F132" s="27"/>
      <c r="G132" s="25"/>
      <c r="H132" s="17"/>
      <c r="I132" s="17"/>
      <c r="J132" s="17"/>
    </row>
    <row r="133" spans="1:10" ht="18" customHeight="1" x14ac:dyDescent="0.25">
      <c r="A133" s="22"/>
      <c r="B133" s="19"/>
      <c r="C133" s="19"/>
      <c r="D133" s="25"/>
      <c r="E133" s="26"/>
      <c r="F133" s="27"/>
      <c r="G133" s="25"/>
      <c r="H133" s="17"/>
      <c r="I133" s="17"/>
      <c r="J133" s="17"/>
    </row>
    <row r="134" spans="1:10" ht="18" customHeight="1" x14ac:dyDescent="0.25">
      <c r="A134" s="22"/>
      <c r="B134" s="19"/>
      <c r="C134" s="19"/>
      <c r="D134" s="25"/>
      <c r="E134" s="26"/>
      <c r="F134" s="27"/>
      <c r="G134" s="25"/>
      <c r="H134" s="17"/>
      <c r="I134" s="17"/>
      <c r="J134" s="17"/>
    </row>
    <row r="135" spans="1:10" ht="18" customHeight="1" x14ac:dyDescent="0.25">
      <c r="A135" s="22"/>
      <c r="B135" s="19"/>
      <c r="C135" s="19"/>
      <c r="D135" s="25"/>
      <c r="E135" s="26"/>
      <c r="F135" s="27"/>
      <c r="G135" s="25"/>
      <c r="H135" s="17"/>
      <c r="I135" s="17"/>
      <c r="J135" s="17"/>
    </row>
    <row r="136" spans="1:10" ht="18" customHeight="1" x14ac:dyDescent="0.25">
      <c r="A136" s="22"/>
      <c r="B136" s="19"/>
      <c r="C136" s="19"/>
      <c r="D136" s="25"/>
      <c r="E136" s="26"/>
      <c r="F136" s="27"/>
      <c r="G136" s="25"/>
      <c r="H136" s="17"/>
      <c r="I136" s="17"/>
      <c r="J136" s="17"/>
    </row>
    <row r="137" spans="1:10" ht="18" customHeight="1" x14ac:dyDescent="0.25">
      <c r="A137" s="22"/>
      <c r="B137" s="19"/>
      <c r="C137" s="19"/>
      <c r="D137" s="25"/>
      <c r="E137" s="26"/>
      <c r="F137" s="27"/>
      <c r="G137" s="25"/>
      <c r="H137" s="17"/>
      <c r="I137" s="17"/>
      <c r="J137" s="17"/>
    </row>
    <row r="138" spans="1:10" ht="18" customHeight="1" x14ac:dyDescent="0.25">
      <c r="A138" s="22"/>
      <c r="B138" s="19"/>
      <c r="C138" s="19"/>
      <c r="D138" s="25"/>
      <c r="E138" s="26"/>
      <c r="F138" s="27"/>
      <c r="G138" s="25"/>
      <c r="H138" s="17"/>
      <c r="I138" s="17"/>
      <c r="J138" s="17"/>
    </row>
    <row r="139" spans="1:10" ht="18" customHeight="1" x14ac:dyDescent="0.25">
      <c r="A139" s="22"/>
      <c r="B139" s="19"/>
      <c r="C139" s="19"/>
      <c r="D139" s="25"/>
      <c r="E139" s="26"/>
      <c r="F139" s="27"/>
      <c r="G139" s="25"/>
      <c r="H139" s="17"/>
      <c r="I139" s="17"/>
      <c r="J139" s="17"/>
    </row>
    <row r="140" spans="1:10" ht="18" customHeight="1" x14ac:dyDescent="0.25">
      <c r="A140" s="22"/>
      <c r="B140" s="19"/>
      <c r="C140" s="19"/>
      <c r="D140" s="25"/>
      <c r="E140" s="26"/>
      <c r="F140" s="27"/>
      <c r="G140" s="25"/>
      <c r="H140" s="17"/>
      <c r="I140" s="17"/>
      <c r="J140" s="17"/>
    </row>
    <row r="141" spans="1:10" ht="18" customHeight="1" x14ac:dyDescent="0.25">
      <c r="A141" s="22"/>
      <c r="B141" s="19"/>
      <c r="C141" s="19"/>
      <c r="D141" s="25"/>
      <c r="E141" s="26"/>
      <c r="F141" s="27"/>
      <c r="G141" s="25"/>
      <c r="H141" s="17"/>
      <c r="I141" s="17"/>
      <c r="J141" s="17"/>
    </row>
    <row r="142" spans="1:10" ht="18" customHeight="1" x14ac:dyDescent="0.25">
      <c r="A142" s="22"/>
      <c r="B142" s="19"/>
      <c r="C142" s="19"/>
      <c r="D142" s="25"/>
      <c r="E142" s="26"/>
      <c r="F142" s="27"/>
      <c r="G142" s="25"/>
      <c r="H142" s="17"/>
      <c r="I142" s="17"/>
      <c r="J142" s="17"/>
    </row>
    <row r="143" spans="1:10" ht="18" customHeight="1" x14ac:dyDescent="0.25">
      <c r="A143" s="22"/>
      <c r="B143" s="19"/>
      <c r="C143" s="19"/>
      <c r="D143" s="25"/>
      <c r="E143" s="26"/>
      <c r="F143" s="27"/>
      <c r="G143" s="25"/>
      <c r="H143" s="17"/>
      <c r="I143" s="17"/>
      <c r="J143" s="17"/>
    </row>
    <row r="144" spans="1:10" ht="18" customHeight="1" x14ac:dyDescent="0.25">
      <c r="A144" s="28"/>
      <c r="B144" s="29"/>
      <c r="C144" s="29"/>
      <c r="D144" s="30"/>
      <c r="E144" s="2"/>
      <c r="F144" s="31"/>
      <c r="G144" s="30"/>
      <c r="H144" s="1"/>
      <c r="I144" s="1"/>
      <c r="J144" s="1"/>
    </row>
    <row r="145" spans="1:10" ht="18" customHeight="1" x14ac:dyDescent="0.25">
      <c r="A145" s="28"/>
      <c r="B145" s="29"/>
      <c r="C145" s="29"/>
      <c r="D145" s="30"/>
      <c r="E145" s="2"/>
      <c r="F145" s="31"/>
      <c r="G145" s="30"/>
      <c r="H145" s="1"/>
      <c r="I145" s="1"/>
      <c r="J145" s="1"/>
    </row>
    <row r="146" spans="1:10" ht="18" customHeight="1" x14ac:dyDescent="0.25">
      <c r="A146" s="28"/>
      <c r="B146" s="29"/>
      <c r="C146" s="29"/>
      <c r="D146" s="30"/>
      <c r="E146" s="2"/>
      <c r="F146" s="31"/>
      <c r="G146" s="30"/>
      <c r="H146" s="1"/>
      <c r="I146" s="1"/>
      <c r="J146" s="1"/>
    </row>
    <row r="147" spans="1:10" ht="18" customHeight="1" x14ac:dyDescent="0.25">
      <c r="A147" s="28"/>
      <c r="B147" s="29"/>
      <c r="C147" s="29"/>
      <c r="D147" s="30"/>
      <c r="E147" s="2"/>
      <c r="F147" s="31"/>
      <c r="G147" s="30"/>
      <c r="H147" s="1"/>
      <c r="I147" s="1"/>
      <c r="J147" s="1"/>
    </row>
    <row r="148" spans="1:10" ht="18" customHeight="1" x14ac:dyDescent="0.25">
      <c r="A148" s="28"/>
      <c r="B148" s="29"/>
      <c r="C148" s="29"/>
      <c r="D148" s="30"/>
      <c r="E148" s="2"/>
      <c r="F148" s="31"/>
      <c r="G148" s="30"/>
      <c r="H148" s="1"/>
      <c r="I148" s="1"/>
      <c r="J148" s="1"/>
    </row>
    <row r="149" spans="1:10" ht="18" customHeight="1" x14ac:dyDescent="0.25">
      <c r="A149" s="28"/>
      <c r="B149" s="29"/>
      <c r="C149" s="29"/>
      <c r="D149" s="30"/>
      <c r="E149" s="2"/>
      <c r="F149" s="31"/>
      <c r="G149" s="30"/>
      <c r="H149" s="1"/>
      <c r="I149" s="1"/>
      <c r="J149" s="1"/>
    </row>
    <row r="150" spans="1:10" ht="18" customHeight="1" x14ac:dyDescent="0.25">
      <c r="A150" s="28"/>
      <c r="B150" s="29"/>
      <c r="C150" s="29"/>
      <c r="D150" s="30"/>
      <c r="E150" s="2"/>
      <c r="F150" s="31"/>
      <c r="G150" s="30"/>
      <c r="H150" s="1"/>
      <c r="I150" s="1"/>
      <c r="J150" s="1"/>
    </row>
    <row r="151" spans="1:10" ht="18" customHeight="1" x14ac:dyDescent="0.25">
      <c r="A151" s="28"/>
      <c r="B151" s="29"/>
      <c r="C151" s="29"/>
      <c r="D151" s="30"/>
      <c r="E151" s="2"/>
      <c r="F151" s="31"/>
      <c r="G151" s="30"/>
      <c r="H151" s="1"/>
      <c r="I151" s="1"/>
      <c r="J151" s="1"/>
    </row>
    <row r="152" spans="1:10" ht="18" customHeight="1" x14ac:dyDescent="0.25">
      <c r="A152" s="28"/>
      <c r="B152" s="29"/>
      <c r="C152" s="29"/>
      <c r="D152" s="30"/>
      <c r="E152" s="2"/>
      <c r="F152" s="31"/>
      <c r="G152" s="30"/>
      <c r="H152" s="1"/>
      <c r="I152" s="1"/>
      <c r="J152" s="1"/>
    </row>
    <row r="153" spans="1:10" ht="18" customHeight="1" x14ac:dyDescent="0.25">
      <c r="A153" s="28"/>
      <c r="B153" s="29"/>
      <c r="C153" s="29"/>
      <c r="D153" s="30"/>
      <c r="E153" s="2"/>
      <c r="F153" s="31"/>
      <c r="G153" s="30"/>
      <c r="H153" s="1"/>
      <c r="I153" s="1"/>
      <c r="J153" s="1"/>
    </row>
    <row r="154" spans="1:10" ht="18" customHeight="1" x14ac:dyDescent="0.25">
      <c r="A154" s="28"/>
      <c r="B154" s="29"/>
      <c r="C154" s="29"/>
      <c r="D154" s="30"/>
      <c r="E154" s="2"/>
      <c r="F154" s="31"/>
      <c r="G154" s="30"/>
      <c r="H154" s="1"/>
      <c r="I154" s="1"/>
      <c r="J154" s="1"/>
    </row>
    <row r="155" spans="1:10" ht="18" customHeight="1" x14ac:dyDescent="0.25">
      <c r="A155" s="28"/>
      <c r="B155" s="29"/>
      <c r="C155" s="29"/>
      <c r="D155" s="30"/>
      <c r="E155" s="2"/>
      <c r="F155" s="31"/>
      <c r="G155" s="30"/>
      <c r="H155" s="1"/>
      <c r="I155" s="1"/>
      <c r="J155" s="1"/>
    </row>
    <row r="156" spans="1:10" ht="18" customHeight="1" x14ac:dyDescent="0.25">
      <c r="A156" s="28"/>
      <c r="B156" s="29"/>
      <c r="C156" s="29"/>
      <c r="D156" s="30"/>
      <c r="E156" s="2"/>
      <c r="F156" s="31"/>
      <c r="G156" s="30"/>
      <c r="H156" s="1"/>
      <c r="I156" s="1"/>
      <c r="J156" s="1"/>
    </row>
    <row r="157" spans="1:10" ht="18" customHeight="1" x14ac:dyDescent="0.25">
      <c r="A157" s="28"/>
      <c r="B157" s="29"/>
      <c r="C157" s="29"/>
      <c r="D157" s="30"/>
      <c r="E157" s="2"/>
      <c r="F157" s="31"/>
      <c r="G157" s="30"/>
      <c r="H157" s="1"/>
      <c r="I157" s="1"/>
      <c r="J157" s="1"/>
    </row>
    <row r="158" spans="1:10" ht="18" customHeight="1" x14ac:dyDescent="0.25">
      <c r="A158" s="28"/>
      <c r="B158" s="29"/>
      <c r="C158" s="29"/>
      <c r="D158" s="30"/>
      <c r="E158" s="2"/>
      <c r="F158" s="31"/>
      <c r="G158" s="30"/>
      <c r="H158" s="1"/>
      <c r="I158" s="1"/>
      <c r="J158" s="1"/>
    </row>
    <row r="159" spans="1:10" ht="18" customHeight="1" x14ac:dyDescent="0.25">
      <c r="A159" s="28"/>
      <c r="B159" s="29"/>
      <c r="C159" s="29"/>
      <c r="D159" s="30"/>
      <c r="E159" s="2"/>
      <c r="F159" s="31"/>
      <c r="G159" s="30"/>
      <c r="H159" s="1"/>
      <c r="I159" s="1"/>
      <c r="J159" s="1"/>
    </row>
    <row r="160" spans="1:10" ht="18" customHeight="1" x14ac:dyDescent="0.25">
      <c r="A160" s="28"/>
      <c r="B160" s="29"/>
      <c r="C160" s="29"/>
      <c r="D160" s="30"/>
      <c r="E160" s="2"/>
      <c r="F160" s="31"/>
      <c r="G160" s="30"/>
      <c r="H160" s="1"/>
      <c r="I160" s="1"/>
      <c r="J160" s="1"/>
    </row>
    <row r="161" spans="1:10" ht="18" customHeight="1" x14ac:dyDescent="0.25">
      <c r="A161" s="28"/>
      <c r="B161" s="29"/>
      <c r="C161" s="29"/>
      <c r="D161" s="30"/>
      <c r="E161" s="2"/>
      <c r="F161" s="31"/>
      <c r="G161" s="30"/>
      <c r="H161" s="1"/>
      <c r="I161" s="1"/>
      <c r="J161" s="1"/>
    </row>
    <row r="162" spans="1:10" ht="18" customHeight="1" x14ac:dyDescent="0.25">
      <c r="A162" s="28"/>
      <c r="B162" s="29"/>
      <c r="C162" s="29"/>
      <c r="D162" s="30"/>
      <c r="E162" s="2"/>
      <c r="F162" s="31"/>
      <c r="G162" s="30"/>
      <c r="H162" s="1"/>
      <c r="I162" s="1"/>
      <c r="J162" s="1"/>
    </row>
    <row r="163" spans="1:10" ht="18" customHeight="1" x14ac:dyDescent="0.25">
      <c r="A163" s="28"/>
      <c r="B163" s="29"/>
      <c r="C163" s="29"/>
      <c r="D163" s="30"/>
      <c r="E163" s="2"/>
      <c r="F163" s="31"/>
      <c r="G163" s="30"/>
      <c r="H163" s="1"/>
      <c r="I163" s="1"/>
      <c r="J163" s="1"/>
    </row>
    <row r="164" spans="1:10" ht="18" customHeight="1" x14ac:dyDescent="0.25">
      <c r="A164" s="28"/>
      <c r="B164" s="29"/>
      <c r="C164" s="29"/>
      <c r="D164" s="30"/>
      <c r="E164" s="2"/>
      <c r="F164" s="31"/>
      <c r="G164" s="30"/>
      <c r="H164" s="1"/>
      <c r="I164" s="1"/>
      <c r="J164" s="1"/>
    </row>
    <row r="165" spans="1:10" ht="18" customHeight="1" x14ac:dyDescent="0.25">
      <c r="A165" s="28"/>
      <c r="B165" s="29"/>
      <c r="C165" s="29"/>
      <c r="D165" s="30"/>
      <c r="E165" s="2"/>
      <c r="F165" s="31"/>
      <c r="G165" s="30"/>
      <c r="H165" s="1"/>
      <c r="I165" s="1"/>
      <c r="J165" s="1"/>
    </row>
    <row r="166" spans="1:10" ht="18" customHeight="1" x14ac:dyDescent="0.25">
      <c r="A166" s="28"/>
      <c r="B166" s="29"/>
      <c r="C166" s="29"/>
      <c r="D166" s="30"/>
      <c r="E166" s="2"/>
      <c r="F166" s="31"/>
      <c r="G166" s="30"/>
      <c r="H166" s="1"/>
      <c r="I166" s="1"/>
      <c r="J166" s="1"/>
    </row>
    <row r="167" spans="1:10" ht="18" customHeight="1" x14ac:dyDescent="0.25">
      <c r="A167" s="28"/>
      <c r="B167" s="29"/>
      <c r="C167" s="29"/>
      <c r="D167" s="30"/>
      <c r="E167" s="2"/>
      <c r="F167" s="31"/>
      <c r="G167" s="30"/>
      <c r="H167" s="1"/>
      <c r="I167" s="1"/>
      <c r="J167" s="1"/>
    </row>
    <row r="168" spans="1:10" ht="18" customHeight="1" x14ac:dyDescent="0.25">
      <c r="A168" s="28"/>
      <c r="B168" s="29"/>
      <c r="C168" s="29"/>
      <c r="D168" s="30"/>
      <c r="E168" s="2"/>
      <c r="F168" s="31"/>
      <c r="G168" s="30"/>
      <c r="H168" s="1"/>
      <c r="I168" s="1"/>
      <c r="J168" s="1"/>
    </row>
    <row r="169" spans="1:10" ht="18" customHeight="1" x14ac:dyDescent="0.25">
      <c r="A169" s="28"/>
      <c r="B169" s="29"/>
      <c r="C169" s="29"/>
      <c r="D169" s="30"/>
      <c r="E169" s="2"/>
      <c r="F169" s="31"/>
      <c r="G169" s="30"/>
      <c r="H169" s="1"/>
      <c r="I169" s="1"/>
      <c r="J169" s="1"/>
    </row>
    <row r="170" spans="1:10" ht="18" customHeight="1" x14ac:dyDescent="0.25">
      <c r="A170" s="28"/>
      <c r="B170" s="29"/>
      <c r="C170" s="29"/>
      <c r="D170" s="30"/>
      <c r="E170" s="2"/>
      <c r="F170" s="31"/>
      <c r="G170" s="30"/>
      <c r="H170" s="1"/>
      <c r="I170" s="1"/>
      <c r="J170" s="1"/>
    </row>
    <row r="171" spans="1:10" ht="18" customHeight="1" x14ac:dyDescent="0.25">
      <c r="A171" s="28"/>
      <c r="B171" s="29"/>
      <c r="C171" s="29"/>
      <c r="D171" s="30"/>
      <c r="E171" s="2"/>
      <c r="F171" s="31"/>
      <c r="G171" s="30"/>
      <c r="H171" s="1"/>
      <c r="I171" s="1"/>
      <c r="J171" s="1"/>
    </row>
    <row r="172" spans="1:10" ht="18" customHeight="1" x14ac:dyDescent="0.25">
      <c r="A172" s="28"/>
      <c r="B172" s="29"/>
      <c r="C172" s="29"/>
      <c r="D172" s="30"/>
      <c r="E172" s="2"/>
      <c r="F172" s="31"/>
      <c r="G172" s="30"/>
      <c r="H172" s="1"/>
      <c r="I172" s="1"/>
      <c r="J172" s="1"/>
    </row>
    <row r="173" spans="1:10" ht="18" customHeight="1" x14ac:dyDescent="0.25">
      <c r="A173" s="28"/>
      <c r="B173" s="29"/>
      <c r="C173" s="29"/>
      <c r="D173" s="30"/>
      <c r="E173" s="2"/>
      <c r="F173" s="31"/>
      <c r="G173" s="30"/>
      <c r="H173" s="1"/>
      <c r="I173" s="1"/>
      <c r="J173" s="1"/>
    </row>
    <row r="174" spans="1:10" ht="18" customHeight="1" x14ac:dyDescent="0.25">
      <c r="A174" s="28"/>
      <c r="B174" s="29"/>
      <c r="C174" s="29"/>
      <c r="D174" s="30"/>
      <c r="E174" s="2"/>
      <c r="F174" s="31"/>
      <c r="G174" s="30"/>
      <c r="H174" s="1"/>
      <c r="I174" s="1"/>
      <c r="J174" s="1"/>
    </row>
    <row r="175" spans="1:10" ht="18" customHeight="1" x14ac:dyDescent="0.25">
      <c r="A175" s="28"/>
      <c r="B175" s="29"/>
      <c r="C175" s="29"/>
      <c r="D175" s="30"/>
      <c r="E175" s="2"/>
      <c r="F175" s="31"/>
      <c r="G175" s="30"/>
      <c r="H175" s="1"/>
      <c r="I175" s="1"/>
      <c r="J175" s="1"/>
    </row>
    <row r="176" spans="1:10" ht="18" customHeight="1" x14ac:dyDescent="0.25">
      <c r="A176" s="28"/>
      <c r="B176" s="29"/>
      <c r="C176" s="29"/>
      <c r="D176" s="30"/>
      <c r="E176" s="2"/>
      <c r="F176" s="31"/>
      <c r="G176" s="30"/>
      <c r="H176" s="1"/>
      <c r="I176" s="1"/>
      <c r="J176" s="1"/>
    </row>
    <row r="177" spans="1:10" ht="18" customHeight="1" x14ac:dyDescent="0.25">
      <c r="A177" s="28"/>
      <c r="B177" s="29"/>
      <c r="C177" s="29"/>
      <c r="D177" s="30"/>
      <c r="E177" s="2"/>
      <c r="F177" s="31"/>
      <c r="G177" s="30"/>
      <c r="H177" s="1"/>
      <c r="I177" s="1"/>
      <c r="J177" s="1"/>
    </row>
    <row r="178" spans="1:10" ht="18" customHeight="1" x14ac:dyDescent="0.25">
      <c r="A178" s="28"/>
      <c r="B178" s="29"/>
      <c r="C178" s="29"/>
      <c r="D178" s="30"/>
      <c r="E178" s="2"/>
      <c r="F178" s="31"/>
      <c r="G178" s="30"/>
      <c r="H178" s="1"/>
      <c r="I178" s="1"/>
      <c r="J178" s="1"/>
    </row>
    <row r="179" spans="1:10" ht="18" customHeight="1" x14ac:dyDescent="0.25">
      <c r="A179" s="28"/>
      <c r="B179" s="29"/>
      <c r="C179" s="29"/>
      <c r="D179" s="30"/>
      <c r="E179" s="2"/>
      <c r="F179" s="31"/>
      <c r="G179" s="30"/>
      <c r="H179" s="1"/>
      <c r="I179" s="1"/>
      <c r="J179" s="1"/>
    </row>
    <row r="180" spans="1:10" ht="18" customHeight="1" x14ac:dyDescent="0.25">
      <c r="A180" s="28"/>
      <c r="B180" s="29"/>
      <c r="C180" s="29"/>
      <c r="D180" s="30"/>
      <c r="E180" s="2"/>
      <c r="F180" s="31"/>
      <c r="G180" s="30"/>
      <c r="H180" s="1"/>
      <c r="I180" s="1"/>
      <c r="J180" s="1"/>
    </row>
    <row r="181" spans="1:10" ht="18" customHeight="1" x14ac:dyDescent="0.25">
      <c r="A181" s="28"/>
      <c r="B181" s="29"/>
      <c r="C181" s="29"/>
      <c r="D181" s="30"/>
      <c r="E181" s="2"/>
      <c r="F181" s="31"/>
      <c r="G181" s="30"/>
      <c r="H181" s="1"/>
      <c r="I181" s="1"/>
      <c r="J181" s="1"/>
    </row>
    <row r="182" spans="1:10" ht="18" customHeight="1" x14ac:dyDescent="0.25">
      <c r="A182" s="28"/>
      <c r="B182" s="29"/>
      <c r="C182" s="29"/>
      <c r="D182" s="30"/>
      <c r="E182" s="2"/>
      <c r="F182" s="31"/>
      <c r="G182" s="30"/>
      <c r="H182" s="1"/>
      <c r="I182" s="1"/>
      <c r="J182" s="1"/>
    </row>
    <row r="183" spans="1:10" ht="18" customHeight="1" x14ac:dyDescent="0.25">
      <c r="A183" s="28"/>
      <c r="B183" s="29"/>
      <c r="C183" s="29"/>
      <c r="D183" s="30"/>
      <c r="E183" s="2"/>
      <c r="F183" s="31"/>
      <c r="G183" s="30"/>
      <c r="H183" s="1"/>
      <c r="I183" s="1"/>
      <c r="J183" s="1"/>
    </row>
    <row r="184" spans="1:10" ht="18" customHeight="1" x14ac:dyDescent="0.25">
      <c r="A184" s="28"/>
      <c r="B184" s="29"/>
      <c r="C184" s="29"/>
      <c r="D184" s="30"/>
      <c r="E184" s="2"/>
      <c r="F184" s="31"/>
      <c r="G184" s="30"/>
      <c r="H184" s="1"/>
      <c r="I184" s="1"/>
      <c r="J184" s="1"/>
    </row>
    <row r="185" spans="1:10" ht="18" customHeight="1" x14ac:dyDescent="0.25">
      <c r="A185" s="28"/>
      <c r="B185" s="29"/>
      <c r="C185" s="29"/>
      <c r="D185" s="30"/>
      <c r="E185" s="2"/>
      <c r="F185" s="31"/>
      <c r="G185" s="30"/>
      <c r="H185" s="1"/>
      <c r="I185" s="1"/>
      <c r="J185" s="1"/>
    </row>
    <row r="186" spans="1:10" ht="18" customHeight="1" x14ac:dyDescent="0.25">
      <c r="A186" s="28"/>
      <c r="B186" s="29"/>
      <c r="C186" s="29"/>
      <c r="D186" s="30"/>
      <c r="E186" s="2"/>
      <c r="F186" s="31"/>
      <c r="G186" s="30"/>
      <c r="H186" s="1"/>
      <c r="I186" s="1"/>
      <c r="J186" s="1"/>
    </row>
    <row r="187" spans="1:10" ht="18" customHeight="1" x14ac:dyDescent="0.25">
      <c r="A187" s="28"/>
      <c r="B187" s="29"/>
      <c r="C187" s="29"/>
      <c r="D187" s="30"/>
      <c r="E187" s="2"/>
      <c r="F187" s="31"/>
      <c r="G187" s="30"/>
      <c r="H187" s="1"/>
      <c r="I187" s="1"/>
      <c r="J187" s="1"/>
    </row>
    <row r="188" spans="1:10" ht="18" customHeight="1" x14ac:dyDescent="0.25">
      <c r="A188" s="28"/>
      <c r="B188" s="29"/>
      <c r="C188" s="29"/>
      <c r="D188" s="30"/>
      <c r="E188" s="2"/>
      <c r="F188" s="31"/>
      <c r="G188" s="30"/>
      <c r="H188" s="1"/>
      <c r="I188" s="1"/>
      <c r="J188" s="1"/>
    </row>
    <row r="189" spans="1:10" ht="18" customHeight="1" x14ac:dyDescent="0.25">
      <c r="A189" s="28"/>
      <c r="B189" s="29"/>
      <c r="C189" s="29"/>
      <c r="D189" s="30"/>
      <c r="E189" s="2"/>
      <c r="F189" s="31"/>
      <c r="G189" s="30"/>
      <c r="H189" s="1"/>
      <c r="I189" s="1"/>
      <c r="J189" s="1"/>
    </row>
    <row r="190" spans="1:10" ht="18" customHeight="1" x14ac:dyDescent="0.25">
      <c r="A190" s="28"/>
      <c r="B190" s="29"/>
      <c r="C190" s="29"/>
      <c r="D190" s="30"/>
      <c r="E190" s="2"/>
      <c r="F190" s="31"/>
      <c r="G190" s="30"/>
      <c r="H190" s="1"/>
      <c r="I190" s="1"/>
      <c r="J190" s="1"/>
    </row>
    <row r="191" spans="1:10" ht="18" customHeight="1" x14ac:dyDescent="0.25">
      <c r="A191" s="28"/>
      <c r="B191" s="29"/>
      <c r="C191" s="29"/>
      <c r="D191" s="30"/>
      <c r="E191" s="2"/>
      <c r="F191" s="31"/>
      <c r="G191" s="30"/>
      <c r="H191" s="1"/>
      <c r="I191" s="1"/>
      <c r="J191" s="1"/>
    </row>
    <row r="192" spans="1:10" ht="18" customHeight="1" x14ac:dyDescent="0.25">
      <c r="A192" s="28"/>
      <c r="B192" s="29"/>
      <c r="C192" s="29"/>
      <c r="D192" s="30"/>
      <c r="E192" s="2"/>
      <c r="F192" s="31"/>
      <c r="G192" s="30"/>
      <c r="H192" s="1"/>
      <c r="I192" s="1"/>
      <c r="J192" s="1"/>
    </row>
    <row r="193" spans="1:10" ht="18" customHeight="1" x14ac:dyDescent="0.25">
      <c r="A193" s="28"/>
      <c r="B193" s="29"/>
      <c r="C193" s="29"/>
      <c r="D193" s="30"/>
      <c r="E193" s="2"/>
      <c r="F193" s="31"/>
      <c r="G193" s="30"/>
      <c r="H193" s="1"/>
      <c r="I193" s="1"/>
      <c r="J193" s="1"/>
    </row>
    <row r="194" spans="1:10" ht="18" customHeight="1" x14ac:dyDescent="0.25">
      <c r="A194" s="28"/>
      <c r="B194" s="29"/>
      <c r="C194" s="29"/>
      <c r="D194" s="30"/>
      <c r="E194" s="2"/>
      <c r="F194" s="31"/>
      <c r="G194" s="30"/>
      <c r="H194" s="1"/>
      <c r="I194" s="1"/>
      <c r="J194" s="1"/>
    </row>
    <row r="195" spans="1:10" ht="18" customHeight="1" x14ac:dyDescent="0.25">
      <c r="A195" s="28"/>
      <c r="B195" s="29"/>
      <c r="C195" s="29"/>
      <c r="D195" s="30"/>
      <c r="E195" s="2"/>
      <c r="F195" s="31"/>
      <c r="G195" s="30"/>
      <c r="H195" s="1"/>
      <c r="I195" s="1"/>
      <c r="J195" s="1"/>
    </row>
    <row r="196" spans="1:10" ht="18" customHeight="1" x14ac:dyDescent="0.25">
      <c r="A196" s="28"/>
      <c r="B196" s="29"/>
      <c r="C196" s="29"/>
      <c r="D196" s="30"/>
      <c r="E196" s="2"/>
      <c r="F196" s="31"/>
      <c r="G196" s="30"/>
      <c r="H196" s="1"/>
      <c r="I196" s="1"/>
      <c r="J196" s="1"/>
    </row>
    <row r="197" spans="1:10" ht="18" customHeight="1" x14ac:dyDescent="0.25">
      <c r="A197" s="28"/>
      <c r="B197" s="29"/>
      <c r="C197" s="29"/>
      <c r="D197" s="30"/>
      <c r="E197" s="2"/>
      <c r="F197" s="31"/>
      <c r="G197" s="30"/>
      <c r="H197" s="1"/>
      <c r="I197" s="1"/>
      <c r="J197" s="1"/>
    </row>
    <row r="198" spans="1:10" ht="18" customHeight="1" x14ac:dyDescent="0.25">
      <c r="A198" s="28"/>
      <c r="B198" s="29"/>
      <c r="C198" s="29"/>
      <c r="D198" s="30"/>
      <c r="E198" s="2"/>
      <c r="F198" s="31"/>
      <c r="G198" s="30"/>
      <c r="H198" s="1"/>
      <c r="I198" s="1"/>
      <c r="J198" s="1"/>
    </row>
    <row r="199" spans="1:10" ht="18" customHeight="1" x14ac:dyDescent="0.25">
      <c r="A199" s="28"/>
      <c r="B199" s="29"/>
      <c r="C199" s="29"/>
      <c r="D199" s="30"/>
      <c r="E199" s="2"/>
      <c r="F199" s="31"/>
      <c r="G199" s="30"/>
      <c r="H199" s="1"/>
      <c r="I199" s="1"/>
      <c r="J199" s="1"/>
    </row>
    <row r="200" spans="1:10" ht="18" customHeight="1" x14ac:dyDescent="0.25">
      <c r="A200" s="28"/>
      <c r="B200" s="29"/>
      <c r="C200" s="29"/>
      <c r="D200" s="30"/>
      <c r="E200" s="2"/>
      <c r="F200" s="31"/>
      <c r="G200" s="30"/>
      <c r="H200" s="1"/>
      <c r="I200" s="1"/>
      <c r="J200" s="1"/>
    </row>
    <row r="201" spans="1:10" ht="18" customHeight="1" x14ac:dyDescent="0.25">
      <c r="A201" s="28"/>
      <c r="B201" s="29"/>
      <c r="C201" s="29"/>
      <c r="D201" s="30"/>
      <c r="E201" s="2"/>
      <c r="F201" s="31"/>
      <c r="G201" s="30"/>
      <c r="H201" s="1"/>
      <c r="I201" s="1"/>
      <c r="J201" s="1"/>
    </row>
    <row r="202" spans="1:10" ht="18" customHeight="1" x14ac:dyDescent="0.25">
      <c r="A202" s="28"/>
      <c r="B202" s="29"/>
      <c r="C202" s="29"/>
      <c r="D202" s="30"/>
      <c r="E202" s="2"/>
      <c r="F202" s="31"/>
      <c r="G202" s="30"/>
      <c r="H202" s="1"/>
      <c r="I202" s="1"/>
      <c r="J202" s="1"/>
    </row>
    <row r="203" spans="1:10" ht="18" customHeight="1" x14ac:dyDescent="0.25">
      <c r="A203" s="28"/>
      <c r="B203" s="29"/>
      <c r="C203" s="29"/>
      <c r="D203" s="30"/>
      <c r="E203" s="2"/>
      <c r="F203" s="31"/>
      <c r="G203" s="30"/>
      <c r="H203" s="1"/>
      <c r="I203" s="1"/>
      <c r="J203" s="1"/>
    </row>
    <row r="204" spans="1:10" ht="18" customHeight="1" x14ac:dyDescent="0.25">
      <c r="A204" s="28"/>
      <c r="B204" s="29"/>
      <c r="C204" s="29"/>
      <c r="D204" s="30"/>
      <c r="E204" s="2"/>
      <c r="F204" s="31"/>
      <c r="G204" s="30"/>
      <c r="H204" s="1"/>
      <c r="I204" s="1"/>
      <c r="J204" s="1"/>
    </row>
    <row r="205" spans="1:10" ht="18" customHeight="1" x14ac:dyDescent="0.25">
      <c r="A205" s="28"/>
      <c r="B205" s="29"/>
      <c r="C205" s="29"/>
      <c r="D205" s="30"/>
      <c r="E205" s="2"/>
      <c r="F205" s="31"/>
      <c r="G205" s="30"/>
      <c r="H205" s="1"/>
      <c r="I205" s="1"/>
      <c r="J205" s="1"/>
    </row>
    <row r="206" spans="1:10" ht="18" customHeight="1" x14ac:dyDescent="0.25">
      <c r="A206" s="28"/>
      <c r="B206" s="29"/>
      <c r="C206" s="29"/>
      <c r="D206" s="30"/>
      <c r="E206" s="2"/>
      <c r="F206" s="31"/>
      <c r="G206" s="30"/>
      <c r="H206" s="1"/>
      <c r="I206" s="1"/>
      <c r="J206" s="1"/>
    </row>
    <row r="207" spans="1:10" ht="18" customHeight="1" x14ac:dyDescent="0.25">
      <c r="A207" s="28"/>
      <c r="B207" s="29"/>
      <c r="C207" s="29"/>
      <c r="D207" s="30"/>
      <c r="E207" s="2"/>
      <c r="F207" s="31"/>
      <c r="G207" s="30"/>
      <c r="H207" s="1"/>
      <c r="I207" s="1"/>
      <c r="J207" s="1"/>
    </row>
    <row r="208" spans="1:10" ht="18" customHeight="1" x14ac:dyDescent="0.25">
      <c r="A208" s="28"/>
      <c r="B208" s="29"/>
      <c r="C208" s="29"/>
      <c r="D208" s="30"/>
      <c r="E208" s="2"/>
      <c r="F208" s="31"/>
      <c r="G208" s="30"/>
      <c r="H208" s="1"/>
      <c r="I208" s="1"/>
      <c r="J208" s="1"/>
    </row>
    <row r="209" spans="1:10" ht="18" customHeight="1" x14ac:dyDescent="0.25">
      <c r="A209" s="28"/>
      <c r="B209" s="29"/>
      <c r="C209" s="29"/>
      <c r="D209" s="30"/>
      <c r="E209" s="2"/>
      <c r="F209" s="31"/>
      <c r="G209" s="30"/>
      <c r="H209" s="1"/>
      <c r="I209" s="1"/>
      <c r="J209" s="1"/>
    </row>
    <row r="210" spans="1:10" ht="18" customHeight="1" x14ac:dyDescent="0.25">
      <c r="A210" s="28"/>
      <c r="B210" s="29"/>
      <c r="C210" s="29"/>
      <c r="D210" s="30"/>
      <c r="E210" s="2"/>
      <c r="F210" s="31"/>
      <c r="G210" s="30"/>
      <c r="H210" s="1"/>
      <c r="I210" s="1"/>
      <c r="J210" s="1"/>
    </row>
    <row r="211" spans="1:10" ht="18" customHeight="1" x14ac:dyDescent="0.25">
      <c r="A211" s="28"/>
      <c r="B211" s="29"/>
      <c r="C211" s="29"/>
      <c r="D211" s="30"/>
      <c r="E211" s="2"/>
      <c r="F211" s="31"/>
      <c r="G211" s="30"/>
      <c r="H211" s="1"/>
      <c r="I211" s="1"/>
      <c r="J211" s="1"/>
    </row>
    <row r="212" spans="1:10" ht="18" customHeight="1" x14ac:dyDescent="0.25">
      <c r="A212" s="28"/>
      <c r="B212" s="29"/>
      <c r="C212" s="29"/>
      <c r="D212" s="30"/>
      <c r="E212" s="2"/>
      <c r="F212" s="31"/>
      <c r="G212" s="30"/>
      <c r="H212" s="1"/>
      <c r="I212" s="1"/>
      <c r="J212" s="1"/>
    </row>
    <row r="213" spans="1:10" ht="18" customHeight="1" x14ac:dyDescent="0.25">
      <c r="A213" s="28"/>
      <c r="B213" s="29"/>
      <c r="C213" s="29"/>
      <c r="D213" s="30"/>
      <c r="E213" s="2"/>
      <c r="F213" s="31"/>
      <c r="G213" s="30"/>
      <c r="H213" s="1"/>
      <c r="I213" s="1"/>
      <c r="J213" s="1"/>
    </row>
    <row r="214" spans="1:10" ht="18" customHeight="1" x14ac:dyDescent="0.25">
      <c r="A214" s="28"/>
      <c r="B214" s="29"/>
      <c r="C214" s="29"/>
      <c r="D214" s="30"/>
      <c r="E214" s="2"/>
      <c r="F214" s="31"/>
      <c r="G214" s="30"/>
      <c r="H214" s="1"/>
      <c r="I214" s="1"/>
      <c r="J214" s="1"/>
    </row>
    <row r="215" spans="1:10" ht="18" customHeight="1" x14ac:dyDescent="0.25">
      <c r="A215" s="28"/>
      <c r="B215" s="29"/>
      <c r="C215" s="29"/>
      <c r="D215" s="30"/>
      <c r="E215" s="2"/>
      <c r="F215" s="31"/>
      <c r="G215" s="30"/>
      <c r="H215" s="1"/>
      <c r="I215" s="1"/>
      <c r="J215" s="1"/>
    </row>
    <row r="216" spans="1:10" ht="18" customHeight="1" x14ac:dyDescent="0.25">
      <c r="A216" s="28"/>
      <c r="B216" s="29"/>
      <c r="C216" s="29"/>
      <c r="D216" s="30"/>
      <c r="E216" s="2"/>
      <c r="F216" s="31"/>
      <c r="G216" s="30"/>
      <c r="H216" s="1"/>
      <c r="I216" s="1"/>
      <c r="J216" s="1"/>
    </row>
    <row r="217" spans="1:10" ht="18" customHeight="1" x14ac:dyDescent="0.25">
      <c r="A217" s="28"/>
      <c r="B217" s="29"/>
      <c r="C217" s="29"/>
      <c r="D217" s="30"/>
      <c r="E217" s="2"/>
      <c r="F217" s="31"/>
      <c r="G217" s="30"/>
      <c r="H217" s="1"/>
      <c r="I217" s="1"/>
      <c r="J217" s="1"/>
    </row>
    <row r="218" spans="1:10" ht="18" customHeight="1" x14ac:dyDescent="0.25">
      <c r="A218" s="28"/>
      <c r="B218" s="29"/>
      <c r="C218" s="29"/>
      <c r="D218" s="30"/>
      <c r="E218" s="2"/>
      <c r="F218" s="31"/>
      <c r="G218" s="30"/>
      <c r="H218" s="1"/>
      <c r="I218" s="1"/>
      <c r="J218" s="1"/>
    </row>
    <row r="219" spans="1:10" ht="18" customHeight="1" x14ac:dyDescent="0.25">
      <c r="A219" s="28"/>
      <c r="B219" s="29"/>
      <c r="C219" s="29"/>
      <c r="D219" s="30"/>
      <c r="E219" s="2"/>
      <c r="F219" s="31"/>
      <c r="G219" s="30"/>
      <c r="H219" s="1"/>
      <c r="I219" s="1"/>
      <c r="J219" s="1"/>
    </row>
    <row r="220" spans="1:10" ht="18" customHeight="1" x14ac:dyDescent="0.25">
      <c r="A220" s="28"/>
      <c r="B220" s="29"/>
      <c r="C220" s="29"/>
      <c r="D220" s="30"/>
      <c r="E220" s="2"/>
      <c r="F220" s="31"/>
      <c r="G220" s="30"/>
      <c r="H220" s="1"/>
      <c r="I220" s="1"/>
      <c r="J220" s="1"/>
    </row>
    <row r="221" spans="1:10" ht="18" customHeight="1" x14ac:dyDescent="0.25">
      <c r="A221" s="28"/>
      <c r="B221" s="29"/>
      <c r="C221" s="29"/>
      <c r="D221" s="30"/>
      <c r="E221" s="2"/>
      <c r="F221" s="31"/>
      <c r="G221" s="30"/>
      <c r="H221" s="1"/>
      <c r="I221" s="1"/>
      <c r="J221" s="1"/>
    </row>
    <row r="222" spans="1:10" ht="18" customHeight="1" x14ac:dyDescent="0.25">
      <c r="A222" s="28"/>
      <c r="B222" s="29"/>
      <c r="C222" s="29"/>
      <c r="D222" s="30"/>
      <c r="E222" s="2"/>
      <c r="F222" s="31"/>
      <c r="G222" s="30"/>
      <c r="H222" s="1"/>
      <c r="I222" s="1"/>
      <c r="J222" s="1"/>
    </row>
    <row r="223" spans="1:10" ht="18" customHeight="1" x14ac:dyDescent="0.25">
      <c r="A223" s="28"/>
      <c r="B223" s="29"/>
      <c r="C223" s="29"/>
      <c r="D223" s="30"/>
      <c r="E223" s="2"/>
      <c r="F223" s="31"/>
      <c r="G223" s="30"/>
      <c r="H223" s="1"/>
      <c r="I223" s="1"/>
      <c r="J223" s="1"/>
    </row>
    <row r="224" spans="1:10" ht="18" customHeight="1" x14ac:dyDescent="0.25">
      <c r="A224" s="28"/>
      <c r="B224" s="29"/>
      <c r="C224" s="29"/>
      <c r="D224" s="30"/>
      <c r="E224" s="2"/>
      <c r="F224" s="31"/>
      <c r="G224" s="30"/>
      <c r="H224" s="1"/>
      <c r="I224" s="1"/>
      <c r="J224" s="1"/>
    </row>
    <row r="225" spans="1:10" ht="18" customHeight="1" x14ac:dyDescent="0.25">
      <c r="A225" s="28"/>
      <c r="B225" s="29"/>
      <c r="C225" s="29"/>
      <c r="D225" s="30"/>
      <c r="E225" s="2"/>
      <c r="F225" s="31"/>
      <c r="G225" s="30"/>
      <c r="H225" s="1"/>
      <c r="I225" s="1"/>
      <c r="J225" s="1"/>
    </row>
    <row r="226" spans="1:10" ht="18" customHeight="1" x14ac:dyDescent="0.25">
      <c r="A226" s="28"/>
      <c r="B226" s="29"/>
      <c r="C226" s="29"/>
      <c r="D226" s="30"/>
      <c r="E226" s="2"/>
      <c r="F226" s="31"/>
      <c r="G226" s="30"/>
      <c r="H226" s="1"/>
      <c r="I226" s="1"/>
      <c r="J226" s="1"/>
    </row>
    <row r="227" spans="1:10" ht="18" customHeight="1" x14ac:dyDescent="0.25">
      <c r="A227" s="28"/>
      <c r="B227" s="29"/>
      <c r="C227" s="29"/>
      <c r="D227" s="30"/>
      <c r="E227" s="2"/>
      <c r="F227" s="31"/>
      <c r="G227" s="30"/>
      <c r="H227" s="1"/>
      <c r="I227" s="1"/>
      <c r="J227" s="1"/>
    </row>
    <row r="228" spans="1:10" ht="18" customHeight="1" x14ac:dyDescent="0.25">
      <c r="A228" s="28"/>
      <c r="B228" s="29"/>
      <c r="C228" s="29"/>
      <c r="D228" s="30"/>
      <c r="E228" s="2"/>
      <c r="F228" s="31"/>
      <c r="G228" s="30"/>
      <c r="H228" s="1"/>
      <c r="I228" s="1"/>
      <c r="J228" s="1"/>
    </row>
    <row r="229" spans="1:10" ht="18" customHeight="1" x14ac:dyDescent="0.25">
      <c r="A229" s="28"/>
      <c r="B229" s="29"/>
      <c r="C229" s="29"/>
      <c r="D229" s="30"/>
      <c r="E229" s="2"/>
      <c r="F229" s="31"/>
      <c r="G229" s="30"/>
      <c r="H229" s="1"/>
      <c r="I229" s="1"/>
      <c r="J229" s="1"/>
    </row>
    <row r="230" spans="1:10" ht="18" customHeight="1" x14ac:dyDescent="0.25">
      <c r="A230" s="28"/>
      <c r="B230" s="29"/>
      <c r="C230" s="29"/>
      <c r="D230" s="30"/>
      <c r="E230" s="2"/>
      <c r="F230" s="31"/>
      <c r="G230" s="30"/>
      <c r="H230" s="1"/>
      <c r="I230" s="1"/>
      <c r="J230" s="1"/>
    </row>
    <row r="231" spans="1:10" ht="18" customHeight="1" x14ac:dyDescent="0.25">
      <c r="A231" s="28"/>
      <c r="B231" s="29"/>
      <c r="C231" s="29"/>
      <c r="D231" s="30"/>
      <c r="E231" s="2"/>
      <c r="F231" s="31"/>
      <c r="G231" s="30"/>
      <c r="H231" s="1"/>
      <c r="I231" s="1"/>
      <c r="J231" s="1"/>
    </row>
    <row r="232" spans="1:10" ht="18" customHeight="1" x14ac:dyDescent="0.25">
      <c r="A232" s="28"/>
      <c r="B232" s="29"/>
      <c r="C232" s="29"/>
      <c r="D232" s="30"/>
      <c r="E232" s="2"/>
      <c r="F232" s="31"/>
      <c r="G232" s="30"/>
      <c r="H232" s="1"/>
      <c r="I232" s="1"/>
      <c r="J232" s="1"/>
    </row>
    <row r="233" spans="1:10" ht="18" customHeight="1" x14ac:dyDescent="0.25">
      <c r="A233" s="28"/>
      <c r="B233" s="29"/>
      <c r="C233" s="29"/>
      <c r="D233" s="30"/>
      <c r="E233" s="2"/>
      <c r="F233" s="31"/>
      <c r="G233" s="30"/>
      <c r="H233" s="1"/>
      <c r="I233" s="1"/>
      <c r="J233" s="1"/>
    </row>
    <row r="234" spans="1:10" ht="18" customHeight="1" x14ac:dyDescent="0.25">
      <c r="A234" s="28"/>
      <c r="B234" s="29"/>
      <c r="C234" s="29"/>
      <c r="D234" s="30"/>
      <c r="E234" s="2"/>
      <c r="F234" s="31"/>
      <c r="G234" s="30"/>
      <c r="H234" s="1"/>
      <c r="I234" s="1"/>
      <c r="J234" s="1"/>
    </row>
    <row r="235" spans="1:10" ht="18" customHeight="1" x14ac:dyDescent="0.25">
      <c r="A235" s="28"/>
      <c r="B235" s="29"/>
      <c r="C235" s="29"/>
      <c r="D235" s="30"/>
      <c r="E235" s="2"/>
      <c r="F235" s="31"/>
      <c r="G235" s="30"/>
      <c r="H235" s="1"/>
      <c r="I235" s="1"/>
      <c r="J235" s="1"/>
    </row>
    <row r="236" spans="1:10" ht="18" customHeight="1" x14ac:dyDescent="0.25">
      <c r="A236" s="28"/>
      <c r="B236" s="29"/>
      <c r="C236" s="29"/>
      <c r="D236" s="30"/>
      <c r="E236" s="2"/>
      <c r="F236" s="31"/>
      <c r="G236" s="30"/>
      <c r="H236" s="1"/>
      <c r="I236" s="1"/>
      <c r="J236" s="1"/>
    </row>
    <row r="237" spans="1:10" ht="18" customHeight="1" x14ac:dyDescent="0.25">
      <c r="A237" s="28"/>
      <c r="B237" s="29"/>
      <c r="C237" s="29"/>
      <c r="D237" s="30"/>
      <c r="E237" s="2"/>
      <c r="F237" s="31"/>
      <c r="G237" s="30"/>
      <c r="H237" s="1"/>
      <c r="I237" s="1"/>
      <c r="J237" s="1"/>
    </row>
    <row r="238" spans="1:10" ht="18" customHeight="1" x14ac:dyDescent="0.25">
      <c r="A238" s="28"/>
      <c r="B238" s="29"/>
      <c r="C238" s="29"/>
      <c r="D238" s="30"/>
      <c r="E238" s="2"/>
      <c r="F238" s="31"/>
      <c r="G238" s="30"/>
      <c r="H238" s="1"/>
      <c r="I238" s="1"/>
      <c r="J238" s="1"/>
    </row>
    <row r="239" spans="1:10" ht="18" customHeight="1" x14ac:dyDescent="0.25">
      <c r="A239" s="28"/>
      <c r="B239" s="29"/>
      <c r="C239" s="29"/>
      <c r="D239" s="30"/>
      <c r="E239" s="2"/>
      <c r="F239" s="31"/>
      <c r="G239" s="30"/>
      <c r="H239" s="1"/>
      <c r="I239" s="1"/>
      <c r="J239" s="1"/>
    </row>
    <row r="240" spans="1:10" ht="18" customHeight="1" x14ac:dyDescent="0.25">
      <c r="A240" s="28"/>
      <c r="B240" s="29"/>
      <c r="C240" s="29"/>
      <c r="D240" s="30"/>
      <c r="E240" s="2"/>
      <c r="F240" s="31"/>
      <c r="G240" s="30"/>
      <c r="H240" s="1"/>
      <c r="I240" s="1"/>
      <c r="J240" s="1"/>
    </row>
    <row r="241" spans="1:10" ht="18" customHeight="1" x14ac:dyDescent="0.25">
      <c r="A241" s="28"/>
      <c r="B241" s="29"/>
      <c r="C241" s="29"/>
      <c r="D241" s="30"/>
      <c r="E241" s="2"/>
      <c r="F241" s="31"/>
      <c r="G241" s="30"/>
      <c r="H241" s="1"/>
      <c r="I241" s="1"/>
      <c r="J241" s="1"/>
    </row>
    <row r="242" spans="1:10" ht="18" customHeight="1" x14ac:dyDescent="0.25">
      <c r="A242" s="28"/>
      <c r="B242" s="29"/>
      <c r="C242" s="29"/>
      <c r="D242" s="30"/>
      <c r="E242" s="2"/>
      <c r="F242" s="31"/>
      <c r="G242" s="30"/>
      <c r="H242" s="1"/>
      <c r="I242" s="1"/>
      <c r="J242" s="1"/>
    </row>
    <row r="243" spans="1:10" ht="18" customHeight="1" x14ac:dyDescent="0.25">
      <c r="A243" s="28"/>
      <c r="B243" s="29"/>
      <c r="C243" s="29"/>
      <c r="D243" s="30"/>
      <c r="E243" s="2"/>
      <c r="F243" s="31"/>
      <c r="G243" s="30"/>
      <c r="H243" s="1"/>
      <c r="I243" s="1"/>
      <c r="J243" s="1"/>
    </row>
    <row r="244" spans="1:10" ht="18" customHeight="1" x14ac:dyDescent="0.25">
      <c r="A244" s="28"/>
      <c r="B244" s="29"/>
      <c r="C244" s="29"/>
      <c r="D244" s="30"/>
      <c r="E244" s="2"/>
      <c r="F244" s="31"/>
      <c r="G244" s="30"/>
      <c r="H244" s="1"/>
      <c r="I244" s="1"/>
      <c r="J244" s="1"/>
    </row>
    <row r="245" spans="1:10" ht="18" customHeight="1" x14ac:dyDescent="0.25">
      <c r="A245" s="28"/>
      <c r="B245" s="29"/>
      <c r="C245" s="29"/>
      <c r="D245" s="30"/>
      <c r="E245" s="2"/>
      <c r="F245" s="31"/>
      <c r="G245" s="30"/>
      <c r="H245" s="1"/>
      <c r="I245" s="1"/>
      <c r="J245" s="1"/>
    </row>
    <row r="246" spans="1:10" ht="18" customHeight="1" x14ac:dyDescent="0.25">
      <c r="A246" s="28"/>
      <c r="B246" s="29"/>
      <c r="C246" s="29"/>
      <c r="D246" s="30"/>
      <c r="E246" s="2"/>
      <c r="F246" s="31"/>
      <c r="G246" s="30"/>
      <c r="H246" s="1"/>
      <c r="I246" s="1"/>
      <c r="J246" s="1"/>
    </row>
    <row r="247" spans="1:10" ht="18" customHeight="1" x14ac:dyDescent="0.25">
      <c r="A247" s="28"/>
      <c r="B247" s="29"/>
      <c r="C247" s="29"/>
      <c r="D247" s="30"/>
      <c r="E247" s="2"/>
      <c r="F247" s="31"/>
      <c r="G247" s="30"/>
      <c r="H247" s="1"/>
      <c r="I247" s="1"/>
      <c r="J247" s="1"/>
    </row>
    <row r="248" spans="1:10" ht="18" customHeight="1" x14ac:dyDescent="0.25">
      <c r="A248" s="28"/>
      <c r="B248" s="29"/>
      <c r="C248" s="29"/>
      <c r="D248" s="30"/>
      <c r="E248" s="2"/>
      <c r="F248" s="31"/>
      <c r="G248" s="30"/>
      <c r="H248" s="1"/>
      <c r="I248" s="1"/>
      <c r="J248" s="1"/>
    </row>
    <row r="249" spans="1:10" ht="18" customHeight="1" x14ac:dyDescent="0.25">
      <c r="A249" s="28"/>
      <c r="B249" s="29"/>
      <c r="C249" s="29"/>
      <c r="D249" s="30"/>
      <c r="E249" s="2"/>
      <c r="F249" s="31"/>
      <c r="G249" s="30"/>
      <c r="H249" s="1"/>
      <c r="I249" s="1"/>
      <c r="J249" s="1"/>
    </row>
    <row r="250" spans="1:10" ht="18" customHeight="1" x14ac:dyDescent="0.25">
      <c r="A250" s="28"/>
      <c r="B250" s="29"/>
      <c r="C250" s="29"/>
      <c r="D250" s="30"/>
      <c r="E250" s="2"/>
      <c r="F250" s="31"/>
      <c r="G250" s="30"/>
      <c r="H250" s="1"/>
      <c r="I250" s="1"/>
      <c r="J250" s="1"/>
    </row>
    <row r="251" spans="1:10" ht="18" customHeight="1" x14ac:dyDescent="0.25">
      <c r="A251" s="28"/>
      <c r="B251" s="29"/>
      <c r="C251" s="29"/>
      <c r="D251" s="30"/>
      <c r="E251" s="2"/>
      <c r="F251" s="31"/>
      <c r="G251" s="30"/>
      <c r="H251" s="1"/>
      <c r="I251" s="1"/>
      <c r="J251" s="1"/>
    </row>
    <row r="252" spans="1:10" ht="18" customHeight="1" x14ac:dyDescent="0.25">
      <c r="A252" s="28"/>
      <c r="B252" s="29"/>
      <c r="C252" s="29"/>
      <c r="D252" s="30"/>
      <c r="E252" s="2"/>
      <c r="F252" s="31"/>
      <c r="G252" s="30"/>
      <c r="H252" s="1"/>
      <c r="I252" s="1"/>
      <c r="J252" s="1"/>
    </row>
    <row r="253" spans="1:10" ht="18" customHeight="1" x14ac:dyDescent="0.25">
      <c r="A253" s="28"/>
      <c r="B253" s="29"/>
      <c r="C253" s="29"/>
      <c r="D253" s="30"/>
      <c r="E253" s="2"/>
      <c r="F253" s="31"/>
      <c r="G253" s="30"/>
      <c r="H253" s="1"/>
      <c r="I253" s="1"/>
      <c r="J253" s="1"/>
    </row>
    <row r="254" spans="1:10" ht="18" customHeight="1" x14ac:dyDescent="0.25">
      <c r="A254" s="28"/>
      <c r="B254" s="29"/>
      <c r="C254" s="29"/>
      <c r="D254" s="30"/>
      <c r="E254" s="2"/>
      <c r="F254" s="31"/>
      <c r="G254" s="30"/>
      <c r="H254" s="1"/>
      <c r="I254" s="1"/>
      <c r="J254" s="1"/>
    </row>
    <row r="255" spans="1:10" ht="18" customHeight="1" x14ac:dyDescent="0.25">
      <c r="A255" s="28"/>
      <c r="B255" s="29"/>
      <c r="C255" s="29"/>
      <c r="D255" s="30"/>
      <c r="E255" s="2"/>
      <c r="F255" s="31"/>
      <c r="G255" s="30"/>
      <c r="H255" s="1"/>
      <c r="I255" s="1"/>
      <c r="J255" s="1"/>
    </row>
    <row r="256" spans="1:10" ht="18" customHeight="1" x14ac:dyDescent="0.25">
      <c r="A256" s="28"/>
      <c r="B256" s="29"/>
      <c r="C256" s="29"/>
      <c r="D256" s="30"/>
      <c r="E256" s="2"/>
      <c r="F256" s="31"/>
      <c r="G256" s="30"/>
      <c r="H256" s="1"/>
      <c r="I256" s="1"/>
      <c r="J256" s="1"/>
    </row>
    <row r="257" spans="1:10" ht="18" customHeight="1" x14ac:dyDescent="0.25">
      <c r="A257" s="28"/>
      <c r="B257" s="29"/>
      <c r="C257" s="29"/>
      <c r="D257" s="30"/>
      <c r="E257" s="2"/>
      <c r="F257" s="31"/>
      <c r="G257" s="30"/>
      <c r="H257" s="1"/>
      <c r="I257" s="1"/>
      <c r="J257" s="1"/>
    </row>
    <row r="258" spans="1:10" ht="18" customHeight="1" x14ac:dyDescent="0.25">
      <c r="A258" s="28"/>
      <c r="B258" s="29"/>
      <c r="C258" s="29"/>
      <c r="D258" s="30"/>
      <c r="E258" s="2"/>
      <c r="F258" s="31"/>
      <c r="G258" s="30"/>
      <c r="H258" s="1"/>
      <c r="I258" s="1"/>
      <c r="J258" s="1"/>
    </row>
    <row r="259" spans="1:10" ht="18" customHeight="1" x14ac:dyDescent="0.25">
      <c r="A259" s="28"/>
      <c r="B259" s="29"/>
      <c r="C259" s="29"/>
      <c r="D259" s="30"/>
      <c r="E259" s="2"/>
      <c r="F259" s="31"/>
      <c r="G259" s="30"/>
      <c r="H259" s="1"/>
      <c r="I259" s="1"/>
      <c r="J259" s="1"/>
    </row>
    <row r="260" spans="1:10" ht="18" customHeight="1" x14ac:dyDescent="0.25">
      <c r="A260" s="28"/>
      <c r="B260" s="29"/>
      <c r="C260" s="29"/>
      <c r="D260" s="30"/>
      <c r="E260" s="2"/>
      <c r="F260" s="31"/>
      <c r="G260" s="30"/>
      <c r="H260" s="1"/>
      <c r="I260" s="1"/>
      <c r="J260" s="1"/>
    </row>
    <row r="261" spans="1:10" ht="18" customHeight="1" x14ac:dyDescent="0.25">
      <c r="A261" s="28"/>
      <c r="B261" s="29"/>
      <c r="C261" s="29"/>
      <c r="D261" s="30"/>
      <c r="E261" s="2"/>
      <c r="F261" s="31"/>
      <c r="G261" s="30"/>
      <c r="H261" s="1"/>
      <c r="I261" s="1"/>
      <c r="J261" s="1"/>
    </row>
    <row r="262" spans="1:10" ht="18" customHeight="1" x14ac:dyDescent="0.25">
      <c r="A262" s="28"/>
      <c r="B262" s="29"/>
      <c r="C262" s="29"/>
      <c r="D262" s="30"/>
      <c r="E262" s="2"/>
      <c r="F262" s="31"/>
      <c r="G262" s="30"/>
      <c r="H262" s="1"/>
      <c r="I262" s="1"/>
      <c r="J262" s="1"/>
    </row>
    <row r="263" spans="1:10" ht="18" customHeight="1" x14ac:dyDescent="0.25">
      <c r="A263" s="28"/>
      <c r="B263" s="29"/>
      <c r="C263" s="29"/>
      <c r="D263" s="30"/>
      <c r="E263" s="2"/>
      <c r="F263" s="31"/>
      <c r="G263" s="30"/>
      <c r="H263" s="1"/>
      <c r="I263" s="1"/>
      <c r="J263" s="1"/>
    </row>
    <row r="264" spans="1:10" ht="18" customHeight="1" x14ac:dyDescent="0.25">
      <c r="A264" s="28"/>
      <c r="B264" s="29"/>
      <c r="C264" s="29"/>
      <c r="D264" s="30"/>
      <c r="E264" s="2"/>
      <c r="F264" s="31"/>
      <c r="G264" s="30"/>
      <c r="H264" s="1"/>
      <c r="I264" s="1"/>
      <c r="J264" s="1"/>
    </row>
    <row r="265" spans="1:10" ht="18" customHeight="1" x14ac:dyDescent="0.25">
      <c r="A265" s="28"/>
      <c r="B265" s="29"/>
      <c r="C265" s="29"/>
      <c r="D265" s="30"/>
      <c r="E265" s="2"/>
      <c r="F265" s="31"/>
      <c r="G265" s="30"/>
      <c r="H265" s="1"/>
      <c r="I265" s="1"/>
      <c r="J265" s="1"/>
    </row>
    <row r="266" spans="1:10" ht="18" customHeight="1" x14ac:dyDescent="0.25">
      <c r="A266" s="28"/>
      <c r="B266" s="29"/>
      <c r="C266" s="29"/>
      <c r="D266" s="30"/>
      <c r="E266" s="2"/>
      <c r="F266" s="31"/>
      <c r="G266" s="30"/>
      <c r="H266" s="1"/>
      <c r="I266" s="1"/>
      <c r="J266" s="1"/>
    </row>
    <row r="267" spans="1:10" ht="18" customHeight="1" x14ac:dyDescent="0.25">
      <c r="A267" s="28"/>
      <c r="B267" s="29"/>
      <c r="C267" s="29"/>
      <c r="D267" s="30"/>
      <c r="E267" s="2"/>
      <c r="F267" s="31"/>
      <c r="G267" s="30"/>
      <c r="H267" s="1"/>
      <c r="I267" s="1"/>
      <c r="J267" s="1"/>
    </row>
    <row r="268" spans="1:10" ht="18" customHeight="1" x14ac:dyDescent="0.25">
      <c r="A268" s="28"/>
      <c r="B268" s="29"/>
      <c r="C268" s="29"/>
      <c r="D268" s="30"/>
      <c r="E268" s="2"/>
      <c r="F268" s="31"/>
      <c r="G268" s="30"/>
      <c r="H268" s="1"/>
      <c r="I268" s="1"/>
      <c r="J268" s="1"/>
    </row>
    <row r="269" spans="1:10" ht="18" customHeight="1" x14ac:dyDescent="0.25">
      <c r="A269" s="28"/>
      <c r="B269" s="29"/>
      <c r="C269" s="29"/>
      <c r="D269" s="30"/>
      <c r="E269" s="2"/>
      <c r="F269" s="31"/>
      <c r="G269" s="30"/>
      <c r="H269" s="1"/>
      <c r="I269" s="1"/>
      <c r="J269" s="1"/>
    </row>
    <row r="270" spans="1:10" ht="18" customHeight="1" x14ac:dyDescent="0.25">
      <c r="A270" s="28"/>
      <c r="B270" s="29"/>
      <c r="C270" s="29"/>
      <c r="D270" s="30"/>
      <c r="E270" s="2"/>
      <c r="F270" s="31"/>
      <c r="G270" s="30"/>
      <c r="H270" s="1"/>
      <c r="I270" s="1"/>
      <c r="J270" s="1"/>
    </row>
    <row r="271" spans="1:10" ht="18" customHeight="1" x14ac:dyDescent="0.25">
      <c r="A271" s="28"/>
      <c r="B271" s="29"/>
      <c r="C271" s="29"/>
      <c r="D271" s="30"/>
      <c r="E271" s="2"/>
      <c r="F271" s="31"/>
      <c r="G271" s="30"/>
      <c r="H271" s="1"/>
      <c r="I271" s="1"/>
      <c r="J271" s="1"/>
    </row>
    <row r="272" spans="1:10" ht="18" customHeight="1" x14ac:dyDescent="0.25">
      <c r="A272" s="28"/>
      <c r="B272" s="29"/>
      <c r="C272" s="29"/>
      <c r="D272" s="30"/>
      <c r="E272" s="2"/>
      <c r="F272" s="31"/>
      <c r="G272" s="30"/>
      <c r="H272" s="1"/>
      <c r="I272" s="1"/>
      <c r="J272" s="1"/>
    </row>
    <row r="273" spans="1:10" ht="18" customHeight="1" x14ac:dyDescent="0.25">
      <c r="A273" s="28"/>
      <c r="B273" s="29"/>
      <c r="C273" s="29"/>
      <c r="D273" s="30"/>
      <c r="E273" s="2"/>
      <c r="F273" s="31"/>
      <c r="G273" s="30"/>
      <c r="H273" s="1"/>
      <c r="I273" s="1"/>
      <c r="J273" s="1"/>
    </row>
    <row r="274" spans="1:10" ht="18" customHeight="1" x14ac:dyDescent="0.25">
      <c r="A274" s="28"/>
      <c r="B274" s="29"/>
      <c r="C274" s="29"/>
      <c r="D274" s="30"/>
      <c r="E274" s="2"/>
      <c r="F274" s="31"/>
      <c r="G274" s="30"/>
      <c r="H274" s="1"/>
      <c r="I274" s="1"/>
      <c r="J274" s="1"/>
    </row>
    <row r="275" spans="1:10" ht="18" customHeight="1" x14ac:dyDescent="0.25">
      <c r="A275" s="28"/>
      <c r="B275" s="29"/>
      <c r="C275" s="29"/>
      <c r="D275" s="30"/>
      <c r="E275" s="2"/>
      <c r="F275" s="31"/>
      <c r="G275" s="30"/>
      <c r="H275" s="1"/>
      <c r="I275" s="1"/>
      <c r="J275" s="1"/>
    </row>
    <row r="276" spans="1:10" ht="18" customHeight="1" x14ac:dyDescent="0.25">
      <c r="A276" s="28"/>
      <c r="B276" s="29"/>
      <c r="C276" s="29"/>
      <c r="D276" s="30"/>
      <c r="E276" s="2"/>
      <c r="F276" s="31"/>
      <c r="G276" s="30"/>
      <c r="H276" s="1"/>
      <c r="I276" s="1"/>
      <c r="J276" s="1"/>
    </row>
    <row r="277" spans="1:10" ht="18" customHeight="1" x14ac:dyDescent="0.25">
      <c r="A277" s="28"/>
      <c r="B277" s="29"/>
      <c r="C277" s="29"/>
      <c r="D277" s="30"/>
      <c r="E277" s="2"/>
      <c r="F277" s="31"/>
      <c r="G277" s="30"/>
      <c r="H277" s="1"/>
      <c r="I277" s="1"/>
      <c r="J277" s="1"/>
    </row>
    <row r="278" spans="1:10" ht="18" customHeight="1" x14ac:dyDescent="0.25">
      <c r="A278" s="28"/>
      <c r="B278" s="29"/>
      <c r="C278" s="29"/>
      <c r="D278" s="30"/>
      <c r="E278" s="2"/>
      <c r="F278" s="31"/>
      <c r="G278" s="30"/>
      <c r="H278" s="1"/>
      <c r="I278" s="1"/>
      <c r="J278" s="1"/>
    </row>
    <row r="279" spans="1:10" ht="18" customHeight="1" x14ac:dyDescent="0.25">
      <c r="A279" s="28"/>
      <c r="B279" s="29"/>
      <c r="C279" s="29"/>
      <c r="D279" s="30"/>
      <c r="E279" s="2"/>
      <c r="F279" s="31"/>
      <c r="G279" s="30"/>
      <c r="H279" s="1"/>
      <c r="I279" s="1"/>
      <c r="J279" s="1"/>
    </row>
    <row r="280" spans="1:10" ht="18" customHeight="1" x14ac:dyDescent="0.25">
      <c r="A280" s="28"/>
      <c r="B280" s="29"/>
      <c r="C280" s="29"/>
      <c r="D280" s="30"/>
      <c r="E280" s="2"/>
      <c r="F280" s="31"/>
      <c r="G280" s="30"/>
      <c r="H280" s="1"/>
      <c r="I280" s="1"/>
      <c r="J280" s="1"/>
    </row>
    <row r="281" spans="1:10" ht="18" customHeight="1" x14ac:dyDescent="0.25">
      <c r="A281" s="28"/>
      <c r="B281" s="29"/>
      <c r="C281" s="29"/>
      <c r="D281" s="30"/>
      <c r="E281" s="2"/>
      <c r="F281" s="31"/>
      <c r="G281" s="30"/>
      <c r="H281" s="1"/>
      <c r="I281" s="1"/>
      <c r="J281" s="1"/>
    </row>
    <row r="282" spans="1:10" ht="18" customHeight="1" x14ac:dyDescent="0.25">
      <c r="A282" s="28"/>
      <c r="B282" s="29"/>
      <c r="C282" s="29"/>
      <c r="D282" s="30"/>
      <c r="E282" s="2"/>
      <c r="F282" s="31"/>
      <c r="G282" s="30"/>
      <c r="H282" s="1"/>
      <c r="I282" s="1"/>
      <c r="J282" s="1"/>
    </row>
    <row r="283" spans="1:10" ht="18" customHeight="1" x14ac:dyDescent="0.25">
      <c r="A283" s="28"/>
      <c r="B283" s="29"/>
      <c r="C283" s="29"/>
      <c r="D283" s="30"/>
      <c r="E283" s="2"/>
      <c r="F283" s="31"/>
      <c r="G283" s="30"/>
      <c r="H283" s="1"/>
      <c r="I283" s="1"/>
      <c r="J283" s="1"/>
    </row>
    <row r="284" spans="1:10" ht="18" customHeight="1" x14ac:dyDescent="0.25">
      <c r="A284" s="28"/>
      <c r="B284" s="29"/>
      <c r="C284" s="29"/>
      <c r="D284" s="30"/>
      <c r="E284" s="2"/>
      <c r="F284" s="31"/>
      <c r="G284" s="30"/>
      <c r="H284" s="1"/>
      <c r="I284" s="1"/>
      <c r="J284" s="1"/>
    </row>
    <row r="285" spans="1:10" ht="18" customHeight="1" x14ac:dyDescent="0.25">
      <c r="A285" s="28"/>
      <c r="B285" s="29"/>
      <c r="C285" s="29"/>
      <c r="D285" s="30"/>
      <c r="E285" s="2"/>
      <c r="F285" s="31"/>
      <c r="G285" s="30"/>
      <c r="H285" s="1"/>
      <c r="I285" s="1"/>
      <c r="J285" s="1"/>
    </row>
    <row r="286" spans="1:10" ht="18" customHeight="1" x14ac:dyDescent="0.25">
      <c r="A286" s="28"/>
      <c r="B286" s="29"/>
      <c r="C286" s="29"/>
      <c r="D286" s="30"/>
      <c r="E286" s="2"/>
      <c r="F286" s="31"/>
      <c r="G286" s="30"/>
      <c r="H286" s="1"/>
      <c r="I286" s="1"/>
      <c r="J286" s="1"/>
    </row>
    <row r="287" spans="1:10" ht="18" customHeight="1" x14ac:dyDescent="0.25">
      <c r="A287" s="28"/>
      <c r="B287" s="29"/>
      <c r="C287" s="29"/>
      <c r="D287" s="30"/>
      <c r="E287" s="2"/>
      <c r="F287" s="31"/>
      <c r="G287" s="30"/>
      <c r="H287" s="1"/>
      <c r="I287" s="1"/>
      <c r="J287" s="1"/>
    </row>
    <row r="288" spans="1:10" ht="18" customHeight="1" x14ac:dyDescent="0.25">
      <c r="A288" s="28"/>
      <c r="B288" s="29"/>
      <c r="C288" s="29"/>
      <c r="D288" s="30"/>
      <c r="E288" s="2"/>
      <c r="F288" s="31"/>
      <c r="G288" s="30"/>
      <c r="H288" s="1"/>
      <c r="I288" s="1"/>
      <c r="J288" s="1"/>
    </row>
    <row r="289" spans="1:10" ht="18" customHeight="1" x14ac:dyDescent="0.25">
      <c r="A289" s="28"/>
      <c r="B289" s="29"/>
      <c r="C289" s="29"/>
      <c r="D289" s="30"/>
      <c r="E289" s="2"/>
      <c r="F289" s="31"/>
      <c r="G289" s="30"/>
      <c r="H289" s="1"/>
      <c r="I289" s="1"/>
      <c r="J289" s="1"/>
    </row>
    <row r="290" spans="1:10" ht="18" customHeight="1" x14ac:dyDescent="0.25">
      <c r="A290" s="28"/>
      <c r="B290" s="29"/>
      <c r="C290" s="29"/>
      <c r="D290" s="30"/>
      <c r="E290" s="2"/>
      <c r="F290" s="31"/>
      <c r="G290" s="30"/>
      <c r="H290" s="1"/>
      <c r="I290" s="1"/>
      <c r="J290" s="1"/>
    </row>
    <row r="291" spans="1:10" ht="18" customHeight="1" x14ac:dyDescent="0.25">
      <c r="A291" s="28"/>
      <c r="B291" s="29"/>
      <c r="C291" s="29"/>
      <c r="D291" s="30"/>
      <c r="E291" s="2"/>
      <c r="F291" s="31"/>
      <c r="G291" s="30"/>
      <c r="H291" s="1"/>
      <c r="I291" s="1"/>
      <c r="J291" s="1"/>
    </row>
    <row r="292" spans="1:10" ht="18" customHeight="1" x14ac:dyDescent="0.25">
      <c r="A292" s="28"/>
      <c r="B292" s="29"/>
      <c r="C292" s="29"/>
      <c r="D292" s="30"/>
      <c r="E292" s="2"/>
      <c r="F292" s="31"/>
      <c r="G292" s="30"/>
      <c r="H292" s="1"/>
      <c r="I292" s="1"/>
      <c r="J292" s="1"/>
    </row>
    <row r="293" spans="1:10" ht="18" customHeight="1" x14ac:dyDescent="0.25">
      <c r="A293" s="28"/>
      <c r="B293" s="29"/>
      <c r="C293" s="29"/>
      <c r="D293" s="30"/>
      <c r="E293" s="2"/>
      <c r="F293" s="31"/>
      <c r="G293" s="30"/>
      <c r="H293" s="1"/>
      <c r="I293" s="1"/>
      <c r="J293" s="1"/>
    </row>
    <row r="294" spans="1:10" ht="18" customHeight="1" x14ac:dyDescent="0.25">
      <c r="A294" s="28"/>
      <c r="B294" s="29"/>
      <c r="C294" s="29"/>
      <c r="D294" s="30"/>
      <c r="E294" s="2"/>
      <c r="F294" s="31"/>
      <c r="G294" s="30"/>
      <c r="H294" s="1"/>
      <c r="I294" s="1"/>
      <c r="J294" s="1"/>
    </row>
    <row r="295" spans="1:10" ht="18" customHeight="1" x14ac:dyDescent="0.25">
      <c r="A295" s="28"/>
      <c r="B295" s="29"/>
      <c r="C295" s="29"/>
      <c r="D295" s="30"/>
      <c r="E295" s="2"/>
      <c r="F295" s="31"/>
      <c r="G295" s="30"/>
      <c r="H295" s="1"/>
      <c r="I295" s="1"/>
      <c r="J295" s="1"/>
    </row>
    <row r="296" spans="1:10" ht="18" customHeight="1" x14ac:dyDescent="0.25">
      <c r="A296" s="28"/>
      <c r="B296" s="29"/>
      <c r="C296" s="29"/>
      <c r="D296" s="30"/>
      <c r="E296" s="2"/>
      <c r="F296" s="31"/>
      <c r="G296" s="30"/>
      <c r="H296" s="1"/>
      <c r="I296" s="1"/>
      <c r="J296" s="1"/>
    </row>
    <row r="297" spans="1:10" ht="18" customHeight="1" x14ac:dyDescent="0.25">
      <c r="A297" s="28"/>
      <c r="B297" s="29"/>
      <c r="C297" s="29"/>
      <c r="D297" s="30"/>
      <c r="E297" s="2"/>
      <c r="F297" s="31"/>
      <c r="G297" s="30"/>
      <c r="H297" s="1"/>
      <c r="I297" s="1"/>
      <c r="J297" s="1"/>
    </row>
    <row r="298" spans="1:10" ht="18" customHeight="1" x14ac:dyDescent="0.25">
      <c r="A298" s="28"/>
      <c r="B298" s="29"/>
      <c r="C298" s="29"/>
      <c r="D298" s="30"/>
      <c r="E298" s="2"/>
      <c r="F298" s="31"/>
      <c r="G298" s="30"/>
      <c r="H298" s="1"/>
      <c r="I298" s="1"/>
      <c r="J298" s="1"/>
    </row>
    <row r="299" spans="1:10" ht="18" customHeight="1" x14ac:dyDescent="0.25">
      <c r="A299" s="28"/>
      <c r="B299" s="29"/>
      <c r="C299" s="29"/>
      <c r="D299" s="30"/>
      <c r="E299" s="2"/>
      <c r="F299" s="31"/>
      <c r="G299" s="30"/>
      <c r="H299" s="1"/>
      <c r="I299" s="1"/>
      <c r="J299" s="1"/>
    </row>
    <row r="300" spans="1:10" ht="18" customHeight="1" x14ac:dyDescent="0.25">
      <c r="A300" s="28"/>
      <c r="B300" s="29"/>
      <c r="C300" s="29"/>
      <c r="D300" s="30"/>
      <c r="E300" s="2"/>
      <c r="F300" s="31"/>
      <c r="G300" s="30"/>
      <c r="H300" s="1"/>
      <c r="I300" s="1"/>
      <c r="J300" s="1"/>
    </row>
    <row r="301" spans="1:10" ht="18" customHeight="1" x14ac:dyDescent="0.25">
      <c r="A301" s="28"/>
      <c r="B301" s="29"/>
      <c r="C301" s="29"/>
      <c r="D301" s="30"/>
      <c r="E301" s="2"/>
      <c r="F301" s="31"/>
      <c r="G301" s="30"/>
      <c r="H301" s="1"/>
      <c r="I301" s="1"/>
      <c r="J301" s="1"/>
    </row>
    <row r="302" spans="1:10" ht="18" customHeight="1" x14ac:dyDescent="0.25">
      <c r="A302" s="28"/>
      <c r="B302" s="29"/>
      <c r="C302" s="29"/>
      <c r="D302" s="30"/>
      <c r="E302" s="2"/>
      <c r="F302" s="31"/>
      <c r="G302" s="30"/>
      <c r="H302" s="1"/>
      <c r="I302" s="1"/>
      <c r="J302" s="1"/>
    </row>
    <row r="303" spans="1:10" ht="18" customHeight="1" x14ac:dyDescent="0.25">
      <c r="A303" s="28"/>
      <c r="B303" s="29"/>
      <c r="C303" s="29"/>
      <c r="D303" s="30"/>
      <c r="E303" s="2"/>
      <c r="F303" s="31"/>
      <c r="G303" s="30"/>
      <c r="H303" s="1"/>
      <c r="I303" s="1"/>
      <c r="J303" s="1"/>
    </row>
    <row r="304" spans="1:10" ht="18" customHeight="1" x14ac:dyDescent="0.25">
      <c r="A304" s="28"/>
      <c r="B304" s="29"/>
      <c r="C304" s="29"/>
      <c r="D304" s="30"/>
      <c r="E304" s="2"/>
      <c r="F304" s="31"/>
      <c r="G304" s="30"/>
      <c r="H304" s="1"/>
      <c r="I304" s="1"/>
      <c r="J304" s="1"/>
    </row>
    <row r="305" spans="1:10" ht="18" customHeight="1" x14ac:dyDescent="0.25">
      <c r="A305" s="28"/>
      <c r="B305" s="29"/>
      <c r="C305" s="29"/>
      <c r="D305" s="30"/>
      <c r="E305" s="2"/>
      <c r="F305" s="31"/>
      <c r="G305" s="30"/>
      <c r="H305" s="1"/>
      <c r="I305" s="1"/>
      <c r="J305" s="1"/>
    </row>
    <row r="306" spans="1:10" ht="18" customHeight="1" x14ac:dyDescent="0.25">
      <c r="A306" s="28"/>
      <c r="B306" s="29"/>
      <c r="C306" s="29"/>
      <c r="D306" s="30"/>
      <c r="E306" s="2"/>
      <c r="F306" s="31"/>
      <c r="G306" s="30"/>
      <c r="H306" s="1"/>
      <c r="I306" s="1"/>
      <c r="J306" s="1"/>
    </row>
    <row r="307" spans="1:10" ht="18" customHeight="1" x14ac:dyDescent="0.25">
      <c r="A307" s="28"/>
      <c r="B307" s="29"/>
      <c r="C307" s="29"/>
      <c r="D307" s="30"/>
      <c r="E307" s="2"/>
      <c r="F307" s="31"/>
      <c r="G307" s="30"/>
      <c r="H307" s="1"/>
      <c r="I307" s="1"/>
      <c r="J307" s="1"/>
    </row>
    <row r="308" spans="1:10" ht="18" customHeight="1" x14ac:dyDescent="0.25">
      <c r="A308" s="28"/>
      <c r="B308" s="29"/>
      <c r="C308" s="29"/>
      <c r="D308" s="30"/>
      <c r="E308" s="2"/>
      <c r="F308" s="31"/>
      <c r="G308" s="30"/>
      <c r="H308" s="1"/>
      <c r="I308" s="1"/>
      <c r="J308" s="1"/>
    </row>
    <row r="309" spans="1:10" ht="18" customHeight="1" x14ac:dyDescent="0.25">
      <c r="A309" s="28"/>
      <c r="B309" s="29"/>
      <c r="C309" s="29"/>
      <c r="D309" s="30"/>
      <c r="E309" s="2"/>
      <c r="F309" s="31"/>
      <c r="G309" s="30"/>
      <c r="H309" s="1"/>
      <c r="I309" s="1"/>
      <c r="J309" s="1"/>
    </row>
    <row r="310" spans="1:10" ht="18" customHeight="1" x14ac:dyDescent="0.25">
      <c r="A310" s="28"/>
      <c r="B310" s="29"/>
      <c r="C310" s="29"/>
      <c r="D310" s="30"/>
      <c r="E310" s="2"/>
      <c r="F310" s="31"/>
      <c r="G310" s="30"/>
      <c r="H310" s="1"/>
      <c r="I310" s="1"/>
      <c r="J310" s="1"/>
    </row>
    <row r="311" spans="1:10" ht="18" customHeight="1" x14ac:dyDescent="0.25">
      <c r="A311" s="28"/>
      <c r="B311" s="29"/>
      <c r="C311" s="29"/>
      <c r="D311" s="30"/>
      <c r="E311" s="2"/>
      <c r="F311" s="31"/>
      <c r="G311" s="30"/>
      <c r="H311" s="1"/>
      <c r="I311" s="1"/>
      <c r="J311" s="1"/>
    </row>
    <row r="312" spans="1:10" ht="18" customHeight="1" x14ac:dyDescent="0.25">
      <c r="A312" s="28"/>
      <c r="B312" s="29"/>
      <c r="C312" s="29"/>
      <c r="D312" s="30"/>
      <c r="E312" s="2"/>
      <c r="F312" s="31"/>
      <c r="G312" s="30"/>
      <c r="H312" s="1"/>
      <c r="I312" s="1"/>
      <c r="J312" s="1"/>
    </row>
    <row r="313" spans="1:10" ht="18" customHeight="1" x14ac:dyDescent="0.25">
      <c r="A313" s="28"/>
      <c r="B313" s="29"/>
      <c r="C313" s="29"/>
      <c r="D313" s="30"/>
      <c r="E313" s="2"/>
      <c r="F313" s="31"/>
      <c r="G313" s="30"/>
      <c r="H313" s="1"/>
      <c r="I313" s="1"/>
      <c r="J313" s="1"/>
    </row>
    <row r="314" spans="1:10" ht="18" customHeight="1" x14ac:dyDescent="0.25">
      <c r="A314" s="28"/>
      <c r="B314" s="29"/>
      <c r="C314" s="29"/>
      <c r="D314" s="30"/>
      <c r="E314" s="2"/>
      <c r="F314" s="31"/>
      <c r="G314" s="30"/>
      <c r="H314" s="1"/>
      <c r="I314" s="1"/>
      <c r="J314" s="1"/>
    </row>
    <row r="315" spans="1:10" ht="18" customHeight="1" x14ac:dyDescent="0.25">
      <c r="A315" s="28"/>
      <c r="B315" s="29"/>
      <c r="C315" s="29"/>
      <c r="D315" s="30"/>
      <c r="E315" s="2"/>
      <c r="F315" s="31"/>
      <c r="G315" s="30"/>
      <c r="H315" s="1"/>
      <c r="I315" s="1"/>
      <c r="J315" s="1"/>
    </row>
    <row r="316" spans="1:10" ht="18" customHeight="1" x14ac:dyDescent="0.25">
      <c r="A316" s="28"/>
      <c r="B316" s="29"/>
      <c r="C316" s="29"/>
      <c r="D316" s="30"/>
      <c r="E316" s="2"/>
      <c r="F316" s="31"/>
      <c r="G316" s="30"/>
      <c r="H316" s="1"/>
      <c r="I316" s="1"/>
      <c r="J316" s="1"/>
    </row>
    <row r="317" spans="1:10" ht="18" customHeight="1" x14ac:dyDescent="0.25">
      <c r="A317" s="28"/>
      <c r="B317" s="29"/>
      <c r="C317" s="29"/>
      <c r="D317" s="30"/>
      <c r="E317" s="2"/>
      <c r="F317" s="31"/>
      <c r="G317" s="30"/>
      <c r="H317" s="1"/>
      <c r="I317" s="1"/>
      <c r="J317" s="1"/>
    </row>
    <row r="318" spans="1:10" ht="18" customHeight="1" x14ac:dyDescent="0.25">
      <c r="A318" s="28"/>
      <c r="B318" s="29"/>
      <c r="C318" s="29"/>
      <c r="D318" s="30"/>
      <c r="E318" s="2"/>
      <c r="F318" s="31"/>
      <c r="G318" s="30"/>
      <c r="H318" s="1"/>
      <c r="I318" s="1"/>
      <c r="J318" s="1"/>
    </row>
    <row r="319" spans="1:10" ht="18" customHeight="1" x14ac:dyDescent="0.25">
      <c r="A319" s="28"/>
      <c r="B319" s="29"/>
      <c r="C319" s="29"/>
      <c r="D319" s="30"/>
      <c r="E319" s="2"/>
      <c r="F319" s="31"/>
      <c r="G319" s="30"/>
      <c r="H319" s="1"/>
      <c r="I319" s="1"/>
      <c r="J319" s="1"/>
    </row>
    <row r="320" spans="1:10" ht="18" customHeight="1" x14ac:dyDescent="0.25">
      <c r="A320" s="28"/>
      <c r="B320" s="29"/>
      <c r="C320" s="29"/>
      <c r="D320" s="30"/>
      <c r="E320" s="2"/>
      <c r="F320" s="31"/>
      <c r="G320" s="30"/>
      <c r="H320" s="1"/>
      <c r="I320" s="1"/>
      <c r="J320" s="1"/>
    </row>
    <row r="321" spans="1:10" ht="18" customHeight="1" x14ac:dyDescent="0.25">
      <c r="A321" s="28"/>
      <c r="B321" s="29"/>
      <c r="C321" s="29"/>
      <c r="D321" s="30"/>
      <c r="E321" s="2"/>
      <c r="F321" s="31"/>
      <c r="G321" s="30"/>
      <c r="H321" s="1"/>
      <c r="I321" s="1"/>
      <c r="J321" s="1"/>
    </row>
    <row r="322" spans="1:10" ht="18" customHeight="1" x14ac:dyDescent="0.25">
      <c r="A322" s="28"/>
      <c r="B322" s="29"/>
      <c r="C322" s="29"/>
      <c r="D322" s="30"/>
      <c r="E322" s="2"/>
      <c r="F322" s="31"/>
      <c r="G322" s="30"/>
      <c r="H322" s="1"/>
      <c r="I322" s="1"/>
      <c r="J322" s="1"/>
    </row>
    <row r="323" spans="1:10" ht="18" customHeight="1" x14ac:dyDescent="0.25">
      <c r="A323" s="28"/>
      <c r="B323" s="29"/>
      <c r="C323" s="29"/>
      <c r="D323" s="30"/>
      <c r="E323" s="2"/>
      <c r="F323" s="31"/>
      <c r="G323" s="30"/>
      <c r="H323" s="1"/>
      <c r="I323" s="1"/>
      <c r="J323" s="1"/>
    </row>
    <row r="324" spans="1:10" ht="18" customHeight="1" x14ac:dyDescent="0.25">
      <c r="A324" s="28"/>
      <c r="B324" s="29"/>
      <c r="C324" s="29"/>
      <c r="D324" s="30"/>
      <c r="E324" s="2"/>
      <c r="F324" s="31"/>
      <c r="G324" s="30"/>
      <c r="H324" s="1"/>
      <c r="I324" s="1"/>
      <c r="J324" s="1"/>
    </row>
    <row r="325" spans="1:10" ht="18" customHeight="1" x14ac:dyDescent="0.25">
      <c r="A325" s="28"/>
      <c r="B325" s="29"/>
      <c r="C325" s="29"/>
      <c r="D325" s="30"/>
      <c r="E325" s="2"/>
      <c r="F325" s="31"/>
      <c r="G325" s="30"/>
      <c r="H325" s="1"/>
      <c r="I325" s="1"/>
      <c r="J325" s="1"/>
    </row>
    <row r="326" spans="1:10" ht="18" customHeight="1" x14ac:dyDescent="0.25">
      <c r="A326" s="28"/>
      <c r="B326" s="29"/>
      <c r="C326" s="29"/>
      <c r="D326" s="30"/>
      <c r="E326" s="2"/>
      <c r="F326" s="31"/>
      <c r="G326" s="30"/>
      <c r="H326" s="1"/>
      <c r="I326" s="1"/>
      <c r="J326" s="1"/>
    </row>
    <row r="327" spans="1:10" ht="18" customHeight="1" x14ac:dyDescent="0.25">
      <c r="A327" s="28"/>
      <c r="B327" s="29"/>
      <c r="C327" s="29"/>
      <c r="D327" s="30"/>
      <c r="E327" s="2"/>
      <c r="F327" s="31"/>
      <c r="G327" s="30"/>
      <c r="H327" s="1"/>
      <c r="I327" s="1"/>
      <c r="J327" s="1"/>
    </row>
    <row r="328" spans="1:10" ht="18" customHeight="1" x14ac:dyDescent="0.25">
      <c r="A328" s="28"/>
      <c r="B328" s="29"/>
      <c r="C328" s="29"/>
      <c r="D328" s="30"/>
      <c r="E328" s="2"/>
      <c r="F328" s="31"/>
      <c r="G328" s="30"/>
      <c r="H328" s="1"/>
      <c r="I328" s="1"/>
      <c r="J328" s="1"/>
    </row>
    <row r="329" spans="1:10" ht="18" customHeight="1" x14ac:dyDescent="0.25">
      <c r="A329" s="28"/>
      <c r="B329" s="29"/>
      <c r="C329" s="29"/>
      <c r="D329" s="30"/>
      <c r="E329" s="2"/>
      <c r="F329" s="31"/>
      <c r="G329" s="30"/>
      <c r="H329" s="1"/>
      <c r="I329" s="1"/>
      <c r="J329" s="1"/>
    </row>
    <row r="330" spans="1:10" ht="18" customHeight="1" x14ac:dyDescent="0.25">
      <c r="A330" s="28"/>
      <c r="B330" s="29"/>
      <c r="C330" s="29"/>
      <c r="D330" s="30"/>
      <c r="E330" s="2"/>
      <c r="F330" s="31"/>
      <c r="G330" s="30"/>
      <c r="H330" s="1"/>
      <c r="I330" s="1"/>
      <c r="J330" s="1"/>
    </row>
    <row r="331" spans="1:10" ht="18" customHeight="1" x14ac:dyDescent="0.25">
      <c r="A331" s="28"/>
      <c r="B331" s="29"/>
      <c r="C331" s="29"/>
      <c r="D331" s="30"/>
      <c r="E331" s="2"/>
      <c r="F331" s="31"/>
      <c r="G331" s="30"/>
      <c r="H331" s="1"/>
      <c r="I331" s="1"/>
      <c r="J331" s="1"/>
    </row>
    <row r="332" spans="1:10" ht="18" customHeight="1" x14ac:dyDescent="0.25">
      <c r="A332" s="28"/>
      <c r="B332" s="29"/>
      <c r="C332" s="29"/>
      <c r="D332" s="30"/>
      <c r="E332" s="2"/>
      <c r="F332" s="31"/>
      <c r="G332" s="30"/>
      <c r="H332" s="1"/>
      <c r="I332" s="1"/>
      <c r="J332" s="1"/>
    </row>
    <row r="333" spans="1:10" ht="18" customHeight="1" x14ac:dyDescent="0.25">
      <c r="A333" s="28"/>
      <c r="B333" s="29"/>
      <c r="C333" s="29"/>
      <c r="D333" s="30"/>
      <c r="E333" s="2"/>
      <c r="F333" s="31"/>
      <c r="G333" s="30"/>
      <c r="H333" s="1"/>
      <c r="I333" s="1"/>
      <c r="J333" s="1"/>
    </row>
    <row r="334" spans="1:10" ht="18" customHeight="1" x14ac:dyDescent="0.25">
      <c r="A334" s="28"/>
      <c r="B334" s="29"/>
      <c r="C334" s="29"/>
      <c r="D334" s="30"/>
      <c r="E334" s="2"/>
      <c r="F334" s="31"/>
      <c r="G334" s="30"/>
      <c r="H334" s="1"/>
      <c r="I334" s="1"/>
      <c r="J334" s="1"/>
    </row>
    <row r="335" spans="1:10" ht="18" customHeight="1" x14ac:dyDescent="0.25">
      <c r="A335" s="28"/>
      <c r="B335" s="29"/>
      <c r="C335" s="29"/>
      <c r="D335" s="30"/>
      <c r="E335" s="2"/>
      <c r="F335" s="31"/>
      <c r="G335" s="30"/>
      <c r="H335" s="1"/>
      <c r="I335" s="1"/>
      <c r="J335" s="1"/>
    </row>
    <row r="336" spans="1:10" ht="18" customHeight="1" x14ac:dyDescent="0.25">
      <c r="A336" s="28"/>
      <c r="B336" s="29"/>
      <c r="C336" s="29"/>
      <c r="D336" s="30"/>
      <c r="E336" s="2"/>
      <c r="F336" s="31"/>
      <c r="G336" s="30"/>
      <c r="H336" s="1"/>
      <c r="I336" s="1"/>
      <c r="J336" s="1"/>
    </row>
    <row r="337" spans="1:10" ht="18" customHeight="1" x14ac:dyDescent="0.25">
      <c r="A337" s="28"/>
      <c r="B337" s="29"/>
      <c r="C337" s="29"/>
      <c r="D337" s="30"/>
      <c r="E337" s="2"/>
      <c r="F337" s="31"/>
      <c r="G337" s="30"/>
      <c r="H337" s="1"/>
      <c r="I337" s="1"/>
      <c r="J337" s="1"/>
    </row>
    <row r="338" spans="1:10" ht="18" customHeight="1" x14ac:dyDescent="0.25">
      <c r="A338" s="28"/>
      <c r="B338" s="29"/>
      <c r="C338" s="29"/>
      <c r="D338" s="30"/>
      <c r="E338" s="2"/>
      <c r="F338" s="31"/>
      <c r="G338" s="30"/>
      <c r="H338" s="1"/>
      <c r="I338" s="1"/>
      <c r="J338" s="1"/>
    </row>
    <row r="339" spans="1:10" ht="18" customHeight="1" x14ac:dyDescent="0.25">
      <c r="A339" s="28"/>
      <c r="B339" s="29"/>
      <c r="C339" s="29"/>
      <c r="D339" s="30"/>
      <c r="E339" s="2"/>
      <c r="F339" s="31"/>
      <c r="G339" s="30"/>
      <c r="H339" s="1"/>
      <c r="I339" s="1"/>
      <c r="J339" s="1"/>
    </row>
    <row r="340" spans="1:10" ht="18" customHeight="1" x14ac:dyDescent="0.25">
      <c r="A340" s="28"/>
      <c r="B340" s="29"/>
      <c r="C340" s="29"/>
      <c r="D340" s="30"/>
      <c r="E340" s="2"/>
      <c r="F340" s="31"/>
      <c r="G340" s="30"/>
      <c r="H340" s="1"/>
      <c r="I340" s="1"/>
      <c r="J340" s="1"/>
    </row>
    <row r="341" spans="1:10" ht="18" customHeight="1" x14ac:dyDescent="0.25">
      <c r="A341" s="28"/>
      <c r="B341" s="29"/>
      <c r="C341" s="29"/>
      <c r="D341" s="30"/>
      <c r="E341" s="2"/>
      <c r="F341" s="31"/>
      <c r="G341" s="30"/>
      <c r="H341" s="1"/>
      <c r="I341" s="1"/>
      <c r="J341" s="1"/>
    </row>
    <row r="342" spans="1:10" ht="18" customHeight="1" x14ac:dyDescent="0.25">
      <c r="A342" s="28"/>
      <c r="B342" s="29"/>
      <c r="C342" s="29"/>
      <c r="D342" s="30"/>
      <c r="E342" s="2"/>
      <c r="F342" s="31"/>
      <c r="G342" s="30"/>
      <c r="H342" s="1"/>
      <c r="I342" s="1"/>
      <c r="J342" s="1"/>
    </row>
    <row r="343" spans="1:10" ht="18" customHeight="1" x14ac:dyDescent="0.25">
      <c r="A343" s="28"/>
      <c r="B343" s="29"/>
      <c r="C343" s="29"/>
      <c r="D343" s="30"/>
      <c r="E343" s="2"/>
      <c r="F343" s="31"/>
      <c r="G343" s="30"/>
      <c r="H343" s="1"/>
      <c r="I343" s="1"/>
      <c r="J343" s="1"/>
    </row>
    <row r="344" spans="1:10" ht="18" customHeight="1" x14ac:dyDescent="0.25">
      <c r="A344" s="28"/>
      <c r="B344" s="29"/>
      <c r="C344" s="29"/>
      <c r="D344" s="30"/>
      <c r="E344" s="2"/>
      <c r="F344" s="31"/>
      <c r="G344" s="30"/>
      <c r="H344" s="1"/>
      <c r="I344" s="1"/>
      <c r="J344" s="1"/>
    </row>
    <row r="345" spans="1:10" ht="18" customHeight="1" x14ac:dyDescent="0.25">
      <c r="A345" s="28"/>
      <c r="B345" s="29"/>
      <c r="C345" s="29"/>
      <c r="D345" s="30"/>
      <c r="E345" s="2"/>
      <c r="F345" s="31"/>
      <c r="G345" s="30"/>
      <c r="H345" s="1"/>
      <c r="I345" s="1"/>
      <c r="J345" s="1"/>
    </row>
    <row r="346" spans="1:10" ht="18" customHeight="1" x14ac:dyDescent="0.25">
      <c r="A346" s="28"/>
      <c r="B346" s="29"/>
      <c r="C346" s="29"/>
      <c r="D346" s="30"/>
      <c r="E346" s="2"/>
      <c r="F346" s="31"/>
      <c r="G346" s="30"/>
      <c r="H346" s="1"/>
      <c r="I346" s="1"/>
      <c r="J346" s="1"/>
    </row>
    <row r="347" spans="1:10" ht="18" customHeight="1" x14ac:dyDescent="0.25">
      <c r="A347" s="28"/>
      <c r="B347" s="29"/>
      <c r="C347" s="29"/>
      <c r="D347" s="30"/>
      <c r="E347" s="2"/>
      <c r="F347" s="31"/>
      <c r="G347" s="30"/>
      <c r="H347" s="1"/>
      <c r="I347" s="1"/>
      <c r="J347" s="1"/>
    </row>
    <row r="348" spans="1:10" ht="18" customHeight="1" x14ac:dyDescent="0.25">
      <c r="A348" s="28"/>
      <c r="B348" s="29"/>
      <c r="C348" s="29"/>
      <c r="D348" s="30"/>
      <c r="E348" s="2"/>
      <c r="F348" s="31"/>
      <c r="G348" s="30"/>
      <c r="H348" s="1"/>
      <c r="I348" s="1"/>
      <c r="J348" s="1"/>
    </row>
    <row r="349" spans="1:10" ht="18" customHeight="1" x14ac:dyDescent="0.25">
      <c r="A349" s="28"/>
      <c r="B349" s="29"/>
      <c r="C349" s="29"/>
      <c r="D349" s="30"/>
      <c r="E349" s="2"/>
      <c r="F349" s="31"/>
      <c r="G349" s="30"/>
      <c r="H349" s="1"/>
      <c r="I349" s="1"/>
      <c r="J349" s="1"/>
    </row>
    <row r="350" spans="1:10" ht="18" customHeight="1" x14ac:dyDescent="0.25">
      <c r="A350" s="28"/>
      <c r="B350" s="29"/>
      <c r="C350" s="29"/>
      <c r="D350" s="30"/>
      <c r="E350" s="2"/>
      <c r="F350" s="31"/>
      <c r="G350" s="30"/>
      <c r="H350" s="1"/>
      <c r="I350" s="1"/>
      <c r="J350" s="1"/>
    </row>
    <row r="351" spans="1:10" ht="18" customHeight="1" x14ac:dyDescent="0.25">
      <c r="A351" s="28"/>
      <c r="B351" s="29"/>
      <c r="C351" s="29"/>
      <c r="D351" s="30"/>
      <c r="E351" s="2"/>
      <c r="F351" s="31"/>
      <c r="G351" s="30"/>
      <c r="H351" s="1"/>
      <c r="I351" s="1"/>
      <c r="J351" s="1"/>
    </row>
    <row r="352" spans="1:10" ht="18" customHeight="1" x14ac:dyDescent="0.25">
      <c r="A352" s="28"/>
      <c r="B352" s="29"/>
      <c r="C352" s="29"/>
      <c r="D352" s="30"/>
      <c r="E352" s="2"/>
      <c r="F352" s="31"/>
      <c r="G352" s="30"/>
      <c r="H352" s="1"/>
      <c r="I352" s="1"/>
      <c r="J352" s="1"/>
    </row>
    <row r="353" spans="1:10" ht="18" customHeight="1" x14ac:dyDescent="0.25">
      <c r="A353" s="28"/>
      <c r="B353" s="29"/>
      <c r="C353" s="29"/>
      <c r="D353" s="30"/>
      <c r="E353" s="2"/>
      <c r="F353" s="31"/>
      <c r="G353" s="30"/>
      <c r="H353" s="1"/>
      <c r="I353" s="1"/>
      <c r="J353" s="1"/>
    </row>
    <row r="354" spans="1:10" ht="18" customHeight="1" x14ac:dyDescent="0.25">
      <c r="A354" s="28"/>
      <c r="B354" s="29"/>
      <c r="C354" s="29"/>
      <c r="D354" s="30"/>
      <c r="E354" s="2"/>
      <c r="F354" s="31"/>
      <c r="G354" s="30"/>
      <c r="H354" s="1"/>
      <c r="I354" s="1"/>
      <c r="J354" s="1"/>
    </row>
    <row r="355" spans="1:10" ht="18" customHeight="1" x14ac:dyDescent="0.25">
      <c r="A355" s="28"/>
      <c r="B355" s="29"/>
      <c r="C355" s="29"/>
      <c r="D355" s="30"/>
      <c r="E355" s="2"/>
      <c r="F355" s="31"/>
      <c r="G355" s="30"/>
      <c r="H355" s="1"/>
      <c r="I355" s="1"/>
      <c r="J355" s="1"/>
    </row>
    <row r="356" spans="1:10" ht="18" customHeight="1" x14ac:dyDescent="0.25">
      <c r="A356" s="28"/>
      <c r="B356" s="29"/>
      <c r="C356" s="29"/>
      <c r="D356" s="30"/>
      <c r="E356" s="2"/>
      <c r="F356" s="31"/>
      <c r="G356" s="30"/>
      <c r="H356" s="1"/>
      <c r="I356" s="1"/>
      <c r="J356" s="1"/>
    </row>
    <row r="357" spans="1:10" ht="18" customHeight="1" x14ac:dyDescent="0.25">
      <c r="A357" s="28"/>
      <c r="B357" s="29"/>
      <c r="C357" s="29"/>
      <c r="D357" s="30"/>
      <c r="E357" s="2"/>
      <c r="F357" s="31"/>
      <c r="G357" s="30"/>
      <c r="H357" s="1"/>
      <c r="I357" s="1"/>
      <c r="J357" s="1"/>
    </row>
    <row r="358" spans="1:10" ht="18" customHeight="1" x14ac:dyDescent="0.25">
      <c r="A358" s="28"/>
      <c r="B358" s="29"/>
      <c r="C358" s="29"/>
      <c r="D358" s="30"/>
      <c r="E358" s="2"/>
      <c r="F358" s="31"/>
      <c r="G358" s="30"/>
      <c r="H358" s="1"/>
      <c r="I358" s="1"/>
      <c r="J358" s="1"/>
    </row>
    <row r="359" spans="1:10" ht="18" customHeight="1" x14ac:dyDescent="0.25">
      <c r="A359" s="28"/>
      <c r="B359" s="29"/>
      <c r="C359" s="29"/>
      <c r="D359" s="30"/>
      <c r="E359" s="2"/>
      <c r="F359" s="31"/>
      <c r="G359" s="30"/>
      <c r="H359" s="1"/>
      <c r="I359" s="1"/>
      <c r="J359" s="1"/>
    </row>
    <row r="360" spans="1:10" ht="18" customHeight="1" x14ac:dyDescent="0.25">
      <c r="A360" s="28"/>
      <c r="B360" s="29"/>
      <c r="C360" s="29"/>
      <c r="D360" s="30"/>
      <c r="E360" s="2"/>
      <c r="F360" s="31"/>
      <c r="G360" s="30"/>
      <c r="H360" s="1"/>
      <c r="I360" s="1"/>
      <c r="J360" s="1"/>
    </row>
    <row r="361" spans="1:10" ht="18" customHeight="1" x14ac:dyDescent="0.25">
      <c r="A361" s="28"/>
      <c r="B361" s="29"/>
      <c r="C361" s="29"/>
      <c r="D361" s="30"/>
      <c r="E361" s="2"/>
      <c r="F361" s="31"/>
      <c r="G361" s="30"/>
      <c r="H361" s="1"/>
      <c r="I361" s="1"/>
      <c r="J361" s="1"/>
    </row>
    <row r="362" spans="1:10" ht="18" customHeight="1" x14ac:dyDescent="0.25">
      <c r="A362" s="28"/>
      <c r="B362" s="29"/>
      <c r="C362" s="29"/>
      <c r="D362" s="30"/>
      <c r="E362" s="2"/>
      <c r="F362" s="31"/>
      <c r="G362" s="30"/>
      <c r="H362" s="1"/>
      <c r="I362" s="1"/>
      <c r="J362" s="1"/>
    </row>
    <row r="363" spans="1:10" ht="18" customHeight="1" x14ac:dyDescent="0.25">
      <c r="A363" s="28"/>
      <c r="B363" s="29"/>
      <c r="C363" s="29"/>
      <c r="D363" s="30"/>
      <c r="E363" s="2"/>
      <c r="F363" s="31"/>
      <c r="G363" s="30"/>
      <c r="H363" s="1"/>
      <c r="I363" s="1"/>
      <c r="J363" s="1"/>
    </row>
    <row r="364" spans="1:10" ht="18" customHeight="1" x14ac:dyDescent="0.25">
      <c r="A364" s="28"/>
      <c r="B364" s="29"/>
      <c r="C364" s="29"/>
      <c r="D364" s="30"/>
      <c r="E364" s="2"/>
      <c r="F364" s="31"/>
      <c r="G364" s="30"/>
      <c r="H364" s="1"/>
      <c r="I364" s="1"/>
      <c r="J364" s="1"/>
    </row>
    <row r="365" spans="1:10" ht="18" customHeight="1" x14ac:dyDescent="0.25">
      <c r="A365" s="28"/>
      <c r="B365" s="29"/>
      <c r="C365" s="29"/>
      <c r="D365" s="30"/>
      <c r="E365" s="2"/>
      <c r="F365" s="31"/>
      <c r="G365" s="30"/>
      <c r="H365" s="1"/>
      <c r="I365" s="1"/>
      <c r="J365" s="1"/>
    </row>
    <row r="366" spans="1:10" ht="18" customHeight="1" x14ac:dyDescent="0.25">
      <c r="A366" s="28"/>
      <c r="B366" s="29"/>
      <c r="C366" s="29"/>
      <c r="D366" s="30"/>
      <c r="E366" s="2"/>
      <c r="F366" s="31"/>
      <c r="G366" s="30"/>
      <c r="H366" s="1"/>
      <c r="I366" s="1"/>
      <c r="J366" s="1"/>
    </row>
    <row r="367" spans="1:10" ht="18" customHeight="1" x14ac:dyDescent="0.25">
      <c r="A367" s="28"/>
      <c r="B367" s="29"/>
      <c r="C367" s="29"/>
      <c r="D367" s="30"/>
      <c r="E367" s="2"/>
      <c r="F367" s="31"/>
      <c r="G367" s="30"/>
      <c r="H367" s="1"/>
      <c r="I367" s="1"/>
      <c r="J367" s="1"/>
    </row>
    <row r="368" spans="1:10" ht="18" customHeight="1" x14ac:dyDescent="0.25">
      <c r="A368" s="28"/>
      <c r="B368" s="29"/>
      <c r="C368" s="29"/>
      <c r="D368" s="30"/>
      <c r="E368" s="2"/>
      <c r="F368" s="31"/>
      <c r="G368" s="30"/>
      <c r="H368" s="1"/>
      <c r="I368" s="1"/>
      <c r="J368" s="1"/>
    </row>
    <row r="369" spans="1:10" ht="18" customHeight="1" x14ac:dyDescent="0.25">
      <c r="A369" s="28"/>
      <c r="B369" s="29"/>
      <c r="C369" s="29"/>
      <c r="D369" s="30"/>
      <c r="E369" s="2"/>
      <c r="F369" s="31"/>
      <c r="G369" s="30"/>
      <c r="H369" s="1"/>
      <c r="I369" s="1"/>
      <c r="J369" s="1"/>
    </row>
    <row r="370" spans="1:10" ht="18" customHeight="1" x14ac:dyDescent="0.25">
      <c r="A370" s="28"/>
      <c r="B370" s="29"/>
      <c r="C370" s="29"/>
      <c r="D370" s="30"/>
      <c r="E370" s="2"/>
      <c r="F370" s="31"/>
      <c r="G370" s="30"/>
      <c r="H370" s="1"/>
      <c r="I370" s="1"/>
      <c r="J370" s="1"/>
    </row>
    <row r="371" spans="1:10" ht="18" customHeight="1" x14ac:dyDescent="0.25">
      <c r="A371" s="28"/>
      <c r="B371" s="29"/>
      <c r="C371" s="29"/>
      <c r="D371" s="30"/>
      <c r="E371" s="2"/>
      <c r="F371" s="31"/>
      <c r="G371" s="30"/>
      <c r="H371" s="1"/>
      <c r="I371" s="1"/>
      <c r="J371" s="1"/>
    </row>
    <row r="372" spans="1:10" ht="18" customHeight="1" x14ac:dyDescent="0.25">
      <c r="A372" s="28"/>
      <c r="B372" s="29"/>
      <c r="C372" s="29"/>
      <c r="D372" s="30"/>
      <c r="E372" s="2"/>
      <c r="F372" s="31"/>
      <c r="G372" s="30"/>
      <c r="H372" s="1"/>
      <c r="I372" s="1"/>
      <c r="J372" s="1"/>
    </row>
    <row r="373" spans="1:10" ht="18" customHeight="1" x14ac:dyDescent="0.25">
      <c r="A373" s="28"/>
      <c r="B373" s="29"/>
      <c r="C373" s="29"/>
      <c r="D373" s="30"/>
      <c r="E373" s="2"/>
      <c r="F373" s="31"/>
      <c r="G373" s="30"/>
      <c r="H373" s="1"/>
      <c r="I373" s="1"/>
      <c r="J373" s="1"/>
    </row>
    <row r="374" spans="1:10" ht="18" customHeight="1" x14ac:dyDescent="0.25">
      <c r="A374" s="28"/>
      <c r="B374" s="29"/>
      <c r="C374" s="29"/>
      <c r="D374" s="30"/>
      <c r="E374" s="2"/>
      <c r="F374" s="31"/>
      <c r="G374" s="30"/>
      <c r="H374" s="1"/>
      <c r="I374" s="1"/>
      <c r="J374" s="1"/>
    </row>
    <row r="375" spans="1:10" ht="18" customHeight="1" x14ac:dyDescent="0.25">
      <c r="A375" s="28"/>
      <c r="B375" s="29"/>
      <c r="C375" s="29"/>
      <c r="D375" s="30"/>
      <c r="E375" s="2"/>
      <c r="F375" s="31"/>
      <c r="G375" s="30"/>
      <c r="H375" s="1"/>
      <c r="I375" s="1"/>
      <c r="J375" s="1"/>
    </row>
    <row r="376" spans="1:10" ht="18" customHeight="1" x14ac:dyDescent="0.25">
      <c r="A376" s="28"/>
      <c r="B376" s="29"/>
      <c r="C376" s="29"/>
      <c r="D376" s="30"/>
      <c r="E376" s="2"/>
      <c r="F376" s="31"/>
      <c r="G376" s="30"/>
      <c r="H376" s="1"/>
      <c r="I376" s="1"/>
      <c r="J376" s="1"/>
    </row>
    <row r="377" spans="1:10" ht="18" customHeight="1" x14ac:dyDescent="0.25">
      <c r="A377" s="28"/>
      <c r="B377" s="29"/>
      <c r="C377" s="29"/>
      <c r="D377" s="30"/>
      <c r="E377" s="2"/>
      <c r="F377" s="31"/>
      <c r="G377" s="30"/>
      <c r="H377" s="1"/>
      <c r="I377" s="1"/>
      <c r="J377" s="1"/>
    </row>
    <row r="378" spans="1:10" ht="18" customHeight="1" x14ac:dyDescent="0.25">
      <c r="A378" s="28"/>
      <c r="B378" s="29"/>
      <c r="C378" s="29"/>
      <c r="D378" s="30"/>
      <c r="E378" s="2"/>
      <c r="F378" s="31"/>
      <c r="G378" s="30"/>
      <c r="H378" s="1"/>
      <c r="I378" s="1"/>
      <c r="J378" s="1"/>
    </row>
    <row r="379" spans="1:10" ht="18" customHeight="1" x14ac:dyDescent="0.25">
      <c r="A379" s="28"/>
      <c r="B379" s="29"/>
      <c r="C379" s="29"/>
      <c r="D379" s="30"/>
      <c r="E379" s="2"/>
      <c r="F379" s="31"/>
      <c r="G379" s="30"/>
      <c r="H379" s="1"/>
      <c r="I379" s="1"/>
      <c r="J379" s="1"/>
    </row>
    <row r="380" spans="1:10" ht="18" customHeight="1" x14ac:dyDescent="0.25">
      <c r="A380" s="28"/>
      <c r="B380" s="29"/>
      <c r="C380" s="29"/>
      <c r="D380" s="30"/>
      <c r="E380" s="2"/>
      <c r="F380" s="31"/>
      <c r="G380" s="30"/>
      <c r="H380" s="1"/>
      <c r="I380" s="1"/>
      <c r="J380" s="1"/>
    </row>
    <row r="381" spans="1:10" ht="18" customHeight="1" x14ac:dyDescent="0.25">
      <c r="A381" s="28"/>
      <c r="B381" s="29"/>
      <c r="C381" s="29"/>
      <c r="D381" s="30"/>
      <c r="E381" s="2"/>
      <c r="F381" s="31"/>
      <c r="G381" s="30"/>
      <c r="H381" s="1"/>
      <c r="I381" s="1"/>
      <c r="J381" s="1"/>
    </row>
    <row r="382" spans="1:10" ht="18" customHeight="1" x14ac:dyDescent="0.25">
      <c r="A382" s="28"/>
      <c r="B382" s="29"/>
      <c r="C382" s="29"/>
      <c r="D382" s="30"/>
      <c r="E382" s="2"/>
      <c r="F382" s="31"/>
      <c r="G382" s="30"/>
      <c r="H382" s="1"/>
      <c r="I382" s="1"/>
      <c r="J382" s="1"/>
    </row>
    <row r="383" spans="1:10" ht="18" customHeight="1" x14ac:dyDescent="0.25">
      <c r="A383" s="28"/>
      <c r="B383" s="29"/>
      <c r="C383" s="29"/>
      <c r="D383" s="30"/>
      <c r="E383" s="2"/>
      <c r="F383" s="31"/>
      <c r="G383" s="30"/>
      <c r="H383" s="1"/>
      <c r="I383" s="1"/>
      <c r="J383" s="1"/>
    </row>
    <row r="384" spans="1:10" ht="18" customHeight="1" x14ac:dyDescent="0.25">
      <c r="A384" s="28"/>
      <c r="B384" s="29"/>
      <c r="C384" s="29"/>
      <c r="D384" s="30"/>
      <c r="E384" s="2"/>
      <c r="F384" s="31"/>
      <c r="G384" s="30"/>
      <c r="H384" s="1"/>
      <c r="I384" s="1"/>
      <c r="J384" s="1"/>
    </row>
    <row r="385" spans="1:10" ht="18" customHeight="1" x14ac:dyDescent="0.25">
      <c r="A385" s="28"/>
      <c r="B385" s="29"/>
      <c r="C385" s="29"/>
      <c r="D385" s="30"/>
      <c r="E385" s="2"/>
      <c r="F385" s="31"/>
      <c r="G385" s="30"/>
      <c r="H385" s="1"/>
      <c r="I385" s="1"/>
      <c r="J385" s="1"/>
    </row>
    <row r="386" spans="1:10" ht="18" customHeight="1" x14ac:dyDescent="0.25">
      <c r="A386" s="28"/>
      <c r="B386" s="29"/>
      <c r="C386" s="29"/>
      <c r="D386" s="30"/>
      <c r="E386" s="2"/>
      <c r="F386" s="31"/>
      <c r="G386" s="30"/>
      <c r="H386" s="1"/>
      <c r="I386" s="1"/>
      <c r="J386" s="1"/>
    </row>
    <row r="387" spans="1:10" ht="18" customHeight="1" x14ac:dyDescent="0.25">
      <c r="A387" s="28"/>
      <c r="B387" s="29"/>
      <c r="C387" s="29"/>
      <c r="D387" s="30"/>
      <c r="E387" s="2"/>
      <c r="F387" s="31"/>
      <c r="G387" s="30"/>
      <c r="H387" s="1"/>
      <c r="I387" s="1"/>
      <c r="J387" s="1"/>
    </row>
    <row r="388" spans="1:10" ht="18" customHeight="1" x14ac:dyDescent="0.25">
      <c r="A388" s="28"/>
      <c r="B388" s="29"/>
      <c r="C388" s="29"/>
      <c r="D388" s="30"/>
      <c r="E388" s="2"/>
      <c r="F388" s="31"/>
      <c r="G388" s="30"/>
      <c r="H388" s="1"/>
      <c r="I388" s="1"/>
      <c r="J388" s="1"/>
    </row>
    <row r="389" spans="1:10" ht="18" customHeight="1" x14ac:dyDescent="0.25">
      <c r="A389" s="28"/>
      <c r="B389" s="29"/>
      <c r="C389" s="29"/>
      <c r="D389" s="30"/>
      <c r="E389" s="2"/>
      <c r="F389" s="31"/>
      <c r="G389" s="30"/>
      <c r="H389" s="1"/>
      <c r="I389" s="1"/>
      <c r="J389" s="1"/>
    </row>
    <row r="390" spans="1:10" ht="18" customHeight="1" x14ac:dyDescent="0.25">
      <c r="A390" s="28"/>
      <c r="B390" s="29"/>
      <c r="C390" s="29"/>
      <c r="D390" s="30"/>
      <c r="E390" s="2"/>
      <c r="F390" s="31"/>
      <c r="G390" s="30"/>
      <c r="H390" s="1"/>
      <c r="I390" s="1"/>
      <c r="J390" s="1"/>
    </row>
    <row r="391" spans="1:10" ht="18" customHeight="1" x14ac:dyDescent="0.25">
      <c r="A391" s="28"/>
      <c r="B391" s="29"/>
      <c r="C391" s="29"/>
      <c r="D391" s="30"/>
      <c r="E391" s="2"/>
      <c r="F391" s="31"/>
      <c r="G391" s="30"/>
      <c r="H391" s="1"/>
      <c r="I391" s="1"/>
      <c r="J391" s="1"/>
    </row>
    <row r="392" spans="1:10" ht="18" customHeight="1" x14ac:dyDescent="0.25">
      <c r="A392" s="28"/>
      <c r="B392" s="29"/>
      <c r="C392" s="29"/>
      <c r="D392" s="30"/>
      <c r="E392" s="2"/>
      <c r="F392" s="31"/>
      <c r="G392" s="30"/>
      <c r="H392" s="1"/>
      <c r="I392" s="1"/>
      <c r="J392" s="1"/>
    </row>
    <row r="393" spans="1:10" ht="18" customHeight="1" x14ac:dyDescent="0.25">
      <c r="A393" s="28"/>
      <c r="B393" s="29"/>
      <c r="C393" s="29"/>
      <c r="D393" s="30"/>
      <c r="E393" s="2"/>
      <c r="F393" s="31"/>
      <c r="G393" s="30"/>
      <c r="H393" s="1"/>
      <c r="I393" s="1"/>
      <c r="J393" s="1"/>
    </row>
    <row r="394" spans="1:10" ht="18" customHeight="1" x14ac:dyDescent="0.25">
      <c r="A394" s="28"/>
      <c r="B394" s="29"/>
      <c r="C394" s="29"/>
      <c r="D394" s="30"/>
      <c r="E394" s="2"/>
      <c r="F394" s="31"/>
      <c r="G394" s="30"/>
      <c r="H394" s="1"/>
      <c r="I394" s="1"/>
      <c r="J394" s="1"/>
    </row>
    <row r="395" spans="1:10" ht="18" customHeight="1" x14ac:dyDescent="0.25">
      <c r="A395" s="28"/>
      <c r="B395" s="29"/>
      <c r="C395" s="29"/>
      <c r="D395" s="30"/>
      <c r="E395" s="2"/>
      <c r="F395" s="31"/>
      <c r="G395" s="30"/>
      <c r="H395" s="1"/>
      <c r="I395" s="1"/>
      <c r="J395" s="1"/>
    </row>
    <row r="396" spans="1:10" ht="18" customHeight="1" x14ac:dyDescent="0.25">
      <c r="A396" s="28"/>
      <c r="B396" s="29"/>
      <c r="C396" s="29"/>
      <c r="D396" s="30"/>
      <c r="E396" s="2"/>
      <c r="F396" s="31"/>
      <c r="G396" s="30"/>
      <c r="H396" s="1"/>
      <c r="I396" s="1"/>
      <c r="J396" s="1"/>
    </row>
    <row r="397" spans="1:10" ht="18" customHeight="1" x14ac:dyDescent="0.25">
      <c r="A397" s="28"/>
      <c r="B397" s="29"/>
      <c r="C397" s="29"/>
      <c r="D397" s="30"/>
      <c r="E397" s="2"/>
      <c r="F397" s="31"/>
      <c r="G397" s="30"/>
      <c r="H397" s="1"/>
      <c r="I397" s="1"/>
      <c r="J397" s="1"/>
    </row>
    <row r="398" spans="1:10" ht="18" customHeight="1" x14ac:dyDescent="0.25">
      <c r="A398" s="28"/>
      <c r="B398" s="29"/>
      <c r="C398" s="29"/>
      <c r="D398" s="30"/>
      <c r="E398" s="2"/>
      <c r="F398" s="31"/>
      <c r="G398" s="30"/>
      <c r="H398" s="1"/>
      <c r="I398" s="1"/>
      <c r="J398" s="1"/>
    </row>
    <row r="399" spans="1:10" ht="18" customHeight="1" x14ac:dyDescent="0.25">
      <c r="A399" s="28"/>
      <c r="B399" s="29"/>
      <c r="C399" s="29"/>
      <c r="D399" s="30"/>
      <c r="E399" s="2"/>
      <c r="F399" s="31"/>
      <c r="G399" s="30"/>
      <c r="H399" s="1"/>
      <c r="I399" s="1"/>
      <c r="J399" s="1"/>
    </row>
    <row r="400" spans="1:10" ht="18" customHeight="1" x14ac:dyDescent="0.25">
      <c r="A400" s="28"/>
      <c r="B400" s="29"/>
      <c r="C400" s="29"/>
      <c r="D400" s="30"/>
      <c r="E400" s="2"/>
      <c r="F400" s="31"/>
      <c r="G400" s="30"/>
      <c r="H400" s="1"/>
      <c r="I400" s="1"/>
      <c r="J400" s="1"/>
    </row>
    <row r="401" spans="1:10" ht="18" customHeight="1" x14ac:dyDescent="0.25">
      <c r="A401" s="28"/>
      <c r="B401" s="29"/>
      <c r="C401" s="29"/>
      <c r="D401" s="30"/>
      <c r="E401" s="2"/>
      <c r="F401" s="31"/>
      <c r="G401" s="30"/>
      <c r="H401" s="1"/>
      <c r="I401" s="1"/>
      <c r="J401" s="1"/>
    </row>
    <row r="402" spans="1:10" ht="18" customHeight="1" x14ac:dyDescent="0.25">
      <c r="A402" s="28"/>
      <c r="B402" s="29"/>
      <c r="C402" s="29"/>
      <c r="D402" s="30"/>
      <c r="E402" s="2"/>
      <c r="F402" s="31"/>
      <c r="G402" s="30"/>
      <c r="H402" s="1"/>
      <c r="I402" s="1"/>
      <c r="J402" s="1"/>
    </row>
    <row r="403" spans="1:10" ht="18" customHeight="1" x14ac:dyDescent="0.25">
      <c r="A403" s="28"/>
      <c r="B403" s="29"/>
      <c r="C403" s="29"/>
      <c r="D403" s="30"/>
      <c r="E403" s="2"/>
      <c r="F403" s="31"/>
      <c r="G403" s="30"/>
      <c r="H403" s="1"/>
      <c r="I403" s="1"/>
      <c r="J403" s="1"/>
    </row>
    <row r="404" spans="1:10" ht="18" customHeight="1" x14ac:dyDescent="0.25">
      <c r="A404" s="28"/>
      <c r="B404" s="29"/>
      <c r="C404" s="29"/>
      <c r="D404" s="30"/>
      <c r="E404" s="2"/>
      <c r="F404" s="31"/>
      <c r="G404" s="30"/>
      <c r="H404" s="1"/>
      <c r="I404" s="1"/>
      <c r="J404" s="1"/>
    </row>
    <row r="405" spans="1:10" ht="18" customHeight="1" x14ac:dyDescent="0.25">
      <c r="A405" s="28"/>
      <c r="B405" s="29"/>
      <c r="C405" s="29"/>
      <c r="D405" s="30"/>
      <c r="E405" s="2"/>
      <c r="F405" s="31"/>
      <c r="G405" s="30"/>
      <c r="H405" s="1"/>
      <c r="I405" s="1"/>
      <c r="J405" s="1"/>
    </row>
    <row r="406" spans="1:10" ht="18" customHeight="1" x14ac:dyDescent="0.25">
      <c r="A406" s="28"/>
      <c r="B406" s="29"/>
      <c r="C406" s="29"/>
      <c r="D406" s="30"/>
      <c r="E406" s="2"/>
      <c r="F406" s="31"/>
      <c r="G406" s="30"/>
      <c r="H406" s="1"/>
      <c r="I406" s="1"/>
      <c r="J406" s="1"/>
    </row>
    <row r="407" spans="1:10" ht="18" customHeight="1" x14ac:dyDescent="0.25">
      <c r="A407" s="28"/>
      <c r="B407" s="29"/>
      <c r="C407" s="29"/>
      <c r="D407" s="30"/>
      <c r="E407" s="2"/>
      <c r="F407" s="31"/>
      <c r="G407" s="30"/>
      <c r="H407" s="1"/>
      <c r="I407" s="1"/>
      <c r="J407" s="1"/>
    </row>
    <row r="408" spans="1:10" ht="18" customHeight="1" x14ac:dyDescent="0.25">
      <c r="A408" s="28"/>
      <c r="B408" s="29"/>
      <c r="C408" s="29"/>
      <c r="D408" s="30"/>
      <c r="E408" s="2"/>
      <c r="F408" s="31"/>
      <c r="G408" s="30"/>
      <c r="H408" s="1"/>
      <c r="I408" s="1"/>
      <c r="J408" s="1"/>
    </row>
    <row r="409" spans="1:10" ht="18" customHeight="1" x14ac:dyDescent="0.25">
      <c r="A409" s="28"/>
      <c r="B409" s="29"/>
      <c r="C409" s="29"/>
      <c r="D409" s="30"/>
      <c r="E409" s="2"/>
      <c r="F409" s="31"/>
      <c r="G409" s="30"/>
      <c r="H409" s="1"/>
      <c r="I409" s="1"/>
      <c r="J409" s="1"/>
    </row>
    <row r="410" spans="1:10" ht="18" customHeight="1" x14ac:dyDescent="0.25">
      <c r="A410" s="28"/>
      <c r="B410" s="29"/>
      <c r="C410" s="29"/>
      <c r="D410" s="30"/>
      <c r="E410" s="2"/>
      <c r="F410" s="31"/>
      <c r="G410" s="30"/>
      <c r="H410" s="1"/>
      <c r="I410" s="1"/>
      <c r="J410" s="1"/>
    </row>
    <row r="411" spans="1:10" ht="18" customHeight="1" x14ac:dyDescent="0.25">
      <c r="A411" s="28"/>
      <c r="B411" s="29"/>
      <c r="C411" s="29"/>
      <c r="D411" s="30"/>
      <c r="E411" s="2"/>
      <c r="F411" s="31"/>
      <c r="G411" s="30"/>
      <c r="H411" s="1"/>
      <c r="I411" s="1"/>
      <c r="J411" s="1"/>
    </row>
    <row r="412" spans="1:10" ht="18" customHeight="1" x14ac:dyDescent="0.25">
      <c r="A412" s="28"/>
      <c r="B412" s="29"/>
      <c r="C412" s="29"/>
      <c r="D412" s="30"/>
      <c r="E412" s="2"/>
      <c r="F412" s="31"/>
      <c r="G412" s="30"/>
      <c r="H412" s="1"/>
      <c r="I412" s="1"/>
      <c r="J412" s="1"/>
    </row>
    <row r="413" spans="1:10" ht="18" customHeight="1" x14ac:dyDescent="0.25">
      <c r="A413" s="28"/>
      <c r="B413" s="29"/>
      <c r="C413" s="29"/>
      <c r="D413" s="30"/>
      <c r="E413" s="2"/>
      <c r="F413" s="31"/>
      <c r="G413" s="30"/>
      <c r="H413" s="1"/>
      <c r="I413" s="1"/>
      <c r="J413" s="1"/>
    </row>
    <row r="414" spans="1:10" ht="18" customHeight="1" x14ac:dyDescent="0.25">
      <c r="A414" s="28"/>
      <c r="B414" s="29"/>
      <c r="C414" s="29"/>
      <c r="D414" s="30"/>
      <c r="E414" s="2"/>
      <c r="F414" s="31"/>
      <c r="G414" s="30"/>
      <c r="H414" s="1"/>
      <c r="I414" s="1"/>
      <c r="J414" s="1"/>
    </row>
    <row r="415" spans="1:10" ht="18" customHeight="1" x14ac:dyDescent="0.25">
      <c r="A415" s="28"/>
      <c r="B415" s="29"/>
      <c r="C415" s="29"/>
      <c r="D415" s="30"/>
      <c r="E415" s="2"/>
      <c r="F415" s="31"/>
      <c r="G415" s="30"/>
      <c r="H415" s="1"/>
      <c r="I415" s="1"/>
      <c r="J415" s="1"/>
    </row>
    <row r="416" spans="1:10" ht="18" customHeight="1" x14ac:dyDescent="0.25">
      <c r="A416" s="28"/>
      <c r="B416" s="29"/>
      <c r="C416" s="29"/>
      <c r="D416" s="30"/>
      <c r="E416" s="2"/>
      <c r="F416" s="31"/>
      <c r="G416" s="30"/>
      <c r="H416" s="1"/>
      <c r="I416" s="1"/>
      <c r="J416" s="1"/>
    </row>
    <row r="417" spans="1:10" ht="18" customHeight="1" x14ac:dyDescent="0.25">
      <c r="A417" s="28"/>
      <c r="B417" s="29"/>
      <c r="C417" s="29"/>
      <c r="D417" s="30"/>
      <c r="E417" s="2"/>
      <c r="F417" s="31"/>
      <c r="G417" s="30"/>
      <c r="H417" s="1"/>
      <c r="I417" s="1"/>
      <c r="J417" s="1"/>
    </row>
    <row r="418" spans="1:10" ht="18" customHeight="1" x14ac:dyDescent="0.25">
      <c r="A418" s="28"/>
      <c r="B418" s="29"/>
      <c r="C418" s="29"/>
      <c r="D418" s="30"/>
      <c r="E418" s="2"/>
      <c r="F418" s="31"/>
      <c r="G418" s="30"/>
      <c r="H418" s="1"/>
      <c r="I418" s="1"/>
      <c r="J418" s="1"/>
    </row>
    <row r="419" spans="1:10" ht="18" customHeight="1" x14ac:dyDescent="0.25">
      <c r="A419" s="28"/>
      <c r="B419" s="29"/>
      <c r="C419" s="29"/>
      <c r="D419" s="30"/>
      <c r="E419" s="2"/>
      <c r="F419" s="31"/>
      <c r="G419" s="30"/>
      <c r="H419" s="1"/>
      <c r="I419" s="1"/>
      <c r="J419" s="1"/>
    </row>
    <row r="420" spans="1:10" ht="18" customHeight="1" x14ac:dyDescent="0.25">
      <c r="A420" s="28"/>
      <c r="B420" s="29"/>
      <c r="C420" s="29"/>
      <c r="D420" s="30"/>
      <c r="E420" s="2"/>
      <c r="F420" s="31"/>
      <c r="G420" s="30"/>
      <c r="H420" s="1"/>
      <c r="I420" s="1"/>
      <c r="J420" s="1"/>
    </row>
    <row r="421" spans="1:10" ht="18" customHeight="1" x14ac:dyDescent="0.25">
      <c r="A421" s="28"/>
      <c r="B421" s="29"/>
      <c r="C421" s="29"/>
      <c r="D421" s="30"/>
      <c r="E421" s="2"/>
      <c r="F421" s="31"/>
      <c r="G421" s="30"/>
      <c r="H421" s="1"/>
      <c r="I421" s="1"/>
      <c r="J421" s="1"/>
    </row>
    <row r="422" spans="1:10" ht="18" customHeight="1" x14ac:dyDescent="0.25">
      <c r="A422" s="28"/>
      <c r="B422" s="29"/>
      <c r="C422" s="29"/>
      <c r="D422" s="30"/>
      <c r="E422" s="2"/>
      <c r="F422" s="31"/>
      <c r="G422" s="30"/>
      <c r="H422" s="1"/>
      <c r="I422" s="1"/>
      <c r="J422" s="1"/>
    </row>
    <row r="423" spans="1:10" ht="18" customHeight="1" x14ac:dyDescent="0.25">
      <c r="A423" s="28"/>
      <c r="B423" s="29"/>
      <c r="C423" s="29"/>
      <c r="D423" s="30"/>
      <c r="E423" s="2"/>
      <c r="F423" s="31"/>
      <c r="G423" s="30"/>
      <c r="H423" s="1"/>
      <c r="I423" s="1"/>
      <c r="J423" s="1"/>
    </row>
    <row r="424" spans="1:10" ht="18" customHeight="1" x14ac:dyDescent="0.25">
      <c r="A424" s="28"/>
      <c r="B424" s="29"/>
      <c r="C424" s="29"/>
      <c r="D424" s="30"/>
      <c r="E424" s="2"/>
      <c r="F424" s="31"/>
      <c r="G424" s="30"/>
      <c r="H424" s="1"/>
      <c r="I424" s="1"/>
      <c r="J424" s="1"/>
    </row>
    <row r="425" spans="1:10" ht="18" customHeight="1" x14ac:dyDescent="0.25">
      <c r="A425" s="28"/>
      <c r="B425" s="29"/>
      <c r="C425" s="29"/>
      <c r="D425" s="30"/>
      <c r="E425" s="2"/>
      <c r="F425" s="31"/>
      <c r="G425" s="30"/>
      <c r="H425" s="1"/>
      <c r="I425" s="1"/>
      <c r="J425" s="1"/>
    </row>
    <row r="426" spans="1:10" ht="18" customHeight="1" x14ac:dyDescent="0.25">
      <c r="A426" s="28"/>
      <c r="B426" s="29"/>
      <c r="C426" s="29"/>
      <c r="D426" s="30"/>
      <c r="E426" s="2"/>
      <c r="F426" s="31"/>
      <c r="G426" s="30"/>
      <c r="H426" s="1"/>
      <c r="I426" s="1"/>
      <c r="J426" s="1"/>
    </row>
    <row r="427" spans="1:10" ht="18" customHeight="1" x14ac:dyDescent="0.25">
      <c r="A427" s="28"/>
      <c r="B427" s="29"/>
      <c r="C427" s="29"/>
      <c r="D427" s="30"/>
      <c r="E427" s="2"/>
      <c r="F427" s="31"/>
      <c r="G427" s="30"/>
      <c r="H427" s="1"/>
      <c r="I427" s="1"/>
      <c r="J427" s="1"/>
    </row>
    <row r="428" spans="1:10" ht="18" customHeight="1" x14ac:dyDescent="0.25">
      <c r="A428" s="28"/>
      <c r="B428" s="29"/>
      <c r="C428" s="29"/>
      <c r="D428" s="30"/>
      <c r="E428" s="2"/>
      <c r="F428" s="31"/>
      <c r="G428" s="30"/>
      <c r="H428" s="1"/>
      <c r="I428" s="1"/>
      <c r="J428" s="1"/>
    </row>
    <row r="429" spans="1:10" ht="18" customHeight="1" x14ac:dyDescent="0.25">
      <c r="A429" s="28"/>
      <c r="B429" s="29"/>
      <c r="C429" s="29"/>
      <c r="D429" s="30"/>
      <c r="E429" s="2"/>
      <c r="F429" s="31"/>
      <c r="G429" s="30"/>
      <c r="H429" s="1"/>
      <c r="I429" s="1"/>
      <c r="J429" s="1"/>
    </row>
    <row r="430" spans="1:10" ht="18" customHeight="1" x14ac:dyDescent="0.25">
      <c r="A430" s="28"/>
      <c r="B430" s="29"/>
      <c r="C430" s="29"/>
      <c r="D430" s="30"/>
      <c r="E430" s="2"/>
      <c r="F430" s="31"/>
      <c r="G430" s="30"/>
      <c r="H430" s="1"/>
      <c r="I430" s="1"/>
      <c r="J430" s="1"/>
    </row>
    <row r="431" spans="1:10" ht="18" customHeight="1" x14ac:dyDescent="0.25">
      <c r="A431" s="28"/>
      <c r="B431" s="29"/>
      <c r="C431" s="29"/>
      <c r="D431" s="30"/>
      <c r="E431" s="2"/>
      <c r="F431" s="31"/>
      <c r="G431" s="30"/>
      <c r="H431" s="1"/>
      <c r="I431" s="1"/>
      <c r="J431" s="1"/>
    </row>
    <row r="432" spans="1:10" ht="18" customHeight="1" x14ac:dyDescent="0.25">
      <c r="A432" s="28"/>
      <c r="B432" s="29"/>
      <c r="C432" s="29"/>
      <c r="D432" s="30"/>
      <c r="E432" s="2"/>
      <c r="F432" s="31"/>
      <c r="G432" s="30"/>
      <c r="H432" s="1"/>
      <c r="I432" s="1"/>
      <c r="J432" s="1"/>
    </row>
    <row r="433" spans="1:10" ht="18" customHeight="1" x14ac:dyDescent="0.25">
      <c r="A433" s="28"/>
      <c r="B433" s="29"/>
      <c r="C433" s="29"/>
      <c r="D433" s="30"/>
      <c r="E433" s="2"/>
      <c r="F433" s="31"/>
      <c r="G433" s="30"/>
      <c r="H433" s="1"/>
      <c r="I433" s="1"/>
      <c r="J433" s="1"/>
    </row>
    <row r="434" spans="1:10" ht="18" customHeight="1" x14ac:dyDescent="0.25">
      <c r="A434" s="28"/>
      <c r="B434" s="29"/>
      <c r="C434" s="29"/>
      <c r="D434" s="30"/>
      <c r="E434" s="2"/>
      <c r="F434" s="31"/>
      <c r="G434" s="30"/>
      <c r="H434" s="1"/>
      <c r="I434" s="1"/>
      <c r="J434" s="1"/>
    </row>
    <row r="435" spans="1:10" ht="18" customHeight="1" x14ac:dyDescent="0.25">
      <c r="A435" s="28"/>
      <c r="B435" s="29"/>
      <c r="C435" s="29"/>
      <c r="D435" s="30"/>
      <c r="E435" s="2"/>
      <c r="F435" s="31"/>
      <c r="G435" s="30"/>
      <c r="H435" s="1"/>
      <c r="I435" s="1"/>
      <c r="J435" s="1"/>
    </row>
    <row r="436" spans="1:10" ht="18" customHeight="1" x14ac:dyDescent="0.25">
      <c r="A436" s="28"/>
      <c r="B436" s="29"/>
      <c r="C436" s="29"/>
      <c r="D436" s="30"/>
      <c r="E436" s="2"/>
      <c r="F436" s="31"/>
      <c r="G436" s="30"/>
      <c r="H436" s="1"/>
      <c r="I436" s="1"/>
      <c r="J436" s="1"/>
    </row>
    <row r="437" spans="1:10" ht="18" customHeight="1" x14ac:dyDescent="0.25">
      <c r="A437" s="28"/>
      <c r="B437" s="29"/>
      <c r="C437" s="29"/>
      <c r="D437" s="30"/>
      <c r="E437" s="2"/>
      <c r="F437" s="31"/>
      <c r="G437" s="30"/>
      <c r="H437" s="1"/>
      <c r="I437" s="1"/>
      <c r="J437" s="1"/>
    </row>
    <row r="438" spans="1:10" ht="18" customHeight="1" x14ac:dyDescent="0.25">
      <c r="A438" s="28"/>
      <c r="B438" s="29"/>
      <c r="C438" s="29"/>
      <c r="D438" s="30"/>
      <c r="E438" s="2"/>
      <c r="F438" s="31"/>
      <c r="G438" s="30"/>
      <c r="H438" s="1"/>
      <c r="I438" s="1"/>
      <c r="J438" s="1"/>
    </row>
    <row r="439" spans="1:10" ht="18" customHeight="1" x14ac:dyDescent="0.25">
      <c r="A439" s="28"/>
      <c r="B439" s="29"/>
      <c r="C439" s="29"/>
      <c r="D439" s="30"/>
      <c r="E439" s="2"/>
      <c r="F439" s="31"/>
      <c r="G439" s="30"/>
      <c r="H439" s="1"/>
      <c r="I439" s="1"/>
      <c r="J439" s="1"/>
    </row>
    <row r="440" spans="1:10" ht="18" customHeight="1" x14ac:dyDescent="0.25">
      <c r="A440" s="28"/>
      <c r="B440" s="29"/>
      <c r="C440" s="29"/>
      <c r="D440" s="30"/>
      <c r="E440" s="2"/>
      <c r="F440" s="31"/>
      <c r="G440" s="30"/>
      <c r="H440" s="1"/>
      <c r="I440" s="1"/>
      <c r="J440" s="1"/>
    </row>
    <row r="441" spans="1:10" ht="18" customHeight="1" x14ac:dyDescent="0.25">
      <c r="A441" s="28"/>
      <c r="B441" s="29"/>
      <c r="C441" s="29"/>
      <c r="D441" s="30"/>
      <c r="E441" s="2"/>
      <c r="F441" s="31"/>
      <c r="G441" s="30"/>
      <c r="H441" s="1"/>
      <c r="I441" s="1"/>
      <c r="J441" s="1"/>
    </row>
    <row r="442" spans="1:10" ht="18" customHeight="1" x14ac:dyDescent="0.25">
      <c r="A442" s="28"/>
      <c r="B442" s="29"/>
      <c r="C442" s="29"/>
      <c r="D442" s="30"/>
      <c r="E442" s="2"/>
      <c r="F442" s="31"/>
      <c r="G442" s="30"/>
      <c r="H442" s="1"/>
      <c r="I442" s="1"/>
      <c r="J442" s="1"/>
    </row>
    <row r="443" spans="1:10" ht="18" customHeight="1" x14ac:dyDescent="0.25">
      <c r="A443" s="28"/>
      <c r="B443" s="29"/>
      <c r="C443" s="29"/>
      <c r="D443" s="30"/>
      <c r="E443" s="2"/>
      <c r="F443" s="31"/>
      <c r="G443" s="30"/>
      <c r="H443" s="1"/>
      <c r="I443" s="1"/>
      <c r="J443" s="1"/>
    </row>
    <row r="444" spans="1:10" ht="18" customHeight="1" x14ac:dyDescent="0.25">
      <c r="A444" s="28"/>
      <c r="B444" s="29"/>
      <c r="C444" s="29"/>
      <c r="D444" s="30"/>
      <c r="E444" s="2"/>
      <c r="F444" s="31"/>
      <c r="G444" s="30"/>
      <c r="H444" s="1"/>
      <c r="I444" s="1"/>
      <c r="J444" s="1"/>
    </row>
    <row r="445" spans="1:10" ht="18" customHeight="1" x14ac:dyDescent="0.25">
      <c r="A445" s="28"/>
      <c r="B445" s="29"/>
      <c r="C445" s="29"/>
      <c r="D445" s="30"/>
      <c r="E445" s="2"/>
      <c r="F445" s="31"/>
      <c r="G445" s="30"/>
      <c r="H445" s="1"/>
      <c r="I445" s="1"/>
      <c r="J445" s="1"/>
    </row>
    <row r="446" spans="1:10" ht="18" customHeight="1" x14ac:dyDescent="0.25">
      <c r="A446" s="28"/>
      <c r="B446" s="29"/>
      <c r="C446" s="29"/>
      <c r="D446" s="30"/>
      <c r="E446" s="2"/>
      <c r="F446" s="31"/>
      <c r="G446" s="30"/>
      <c r="H446" s="1"/>
      <c r="I446" s="1"/>
      <c r="J446" s="1"/>
    </row>
    <row r="447" spans="1:10" ht="18" customHeight="1" x14ac:dyDescent="0.25">
      <c r="A447" s="28"/>
      <c r="B447" s="29"/>
      <c r="C447" s="29"/>
      <c r="D447" s="30"/>
      <c r="E447" s="2"/>
      <c r="F447" s="31"/>
      <c r="G447" s="30"/>
      <c r="H447" s="1"/>
      <c r="I447" s="1"/>
      <c r="J447" s="1"/>
    </row>
    <row r="448" spans="1:10" ht="18" customHeight="1" x14ac:dyDescent="0.25">
      <c r="A448" s="28"/>
      <c r="B448" s="29"/>
      <c r="C448" s="29"/>
      <c r="D448" s="30"/>
      <c r="E448" s="2"/>
      <c r="F448" s="31"/>
      <c r="G448" s="30"/>
      <c r="H448" s="1"/>
      <c r="I448" s="1"/>
      <c r="J448" s="1"/>
    </row>
    <row r="449" spans="1:10" ht="18" customHeight="1" x14ac:dyDescent="0.25">
      <c r="A449" s="28"/>
      <c r="B449" s="29"/>
      <c r="C449" s="29"/>
      <c r="D449" s="30"/>
      <c r="E449" s="2"/>
      <c r="F449" s="31"/>
      <c r="G449" s="30"/>
      <c r="H449" s="1"/>
      <c r="I449" s="1"/>
      <c r="J449" s="1"/>
    </row>
    <row r="450" spans="1:10" ht="18" customHeight="1" x14ac:dyDescent="0.25">
      <c r="A450" s="28"/>
      <c r="B450" s="29"/>
      <c r="C450" s="29"/>
      <c r="D450" s="30"/>
      <c r="E450" s="2"/>
      <c r="F450" s="31"/>
      <c r="G450" s="30"/>
      <c r="H450" s="1"/>
      <c r="I450" s="1"/>
      <c r="J450" s="1"/>
    </row>
    <row r="451" spans="1:10" ht="18" customHeight="1" x14ac:dyDescent="0.25">
      <c r="A451" s="28"/>
      <c r="B451" s="29"/>
      <c r="C451" s="29"/>
      <c r="D451" s="30"/>
      <c r="E451" s="2"/>
      <c r="F451" s="31"/>
      <c r="G451" s="30"/>
      <c r="H451" s="1"/>
      <c r="I451" s="1"/>
      <c r="J451" s="1"/>
    </row>
    <row r="452" spans="1:10" ht="18" customHeight="1" x14ac:dyDescent="0.25">
      <c r="A452" s="28"/>
      <c r="B452" s="29"/>
      <c r="C452" s="29"/>
      <c r="D452" s="30"/>
      <c r="E452" s="2"/>
      <c r="F452" s="31"/>
      <c r="G452" s="30"/>
      <c r="H452" s="1"/>
      <c r="I452" s="1"/>
      <c r="J452" s="1"/>
    </row>
    <row r="453" spans="1:10" ht="18" customHeight="1" x14ac:dyDescent="0.25">
      <c r="A453" s="28"/>
      <c r="B453" s="29"/>
      <c r="C453" s="29"/>
      <c r="D453" s="30"/>
      <c r="E453" s="2"/>
      <c r="F453" s="31"/>
      <c r="G453" s="30"/>
      <c r="H453" s="1"/>
      <c r="I453" s="1"/>
      <c r="J453" s="1"/>
    </row>
    <row r="454" spans="1:10" ht="18" customHeight="1" x14ac:dyDescent="0.25">
      <c r="A454" s="28"/>
      <c r="B454" s="29"/>
      <c r="C454" s="29"/>
      <c r="D454" s="30"/>
      <c r="E454" s="2"/>
      <c r="F454" s="31"/>
      <c r="G454" s="30"/>
      <c r="H454" s="1"/>
      <c r="I454" s="1"/>
      <c r="J454" s="1"/>
    </row>
    <row r="455" spans="1:10" ht="18" customHeight="1" x14ac:dyDescent="0.25">
      <c r="A455" s="28"/>
      <c r="B455" s="29"/>
      <c r="C455" s="29"/>
      <c r="D455" s="30"/>
      <c r="E455" s="2"/>
      <c r="F455" s="31"/>
      <c r="G455" s="30"/>
      <c r="H455" s="1"/>
      <c r="I455" s="1"/>
      <c r="J455" s="1"/>
    </row>
    <row r="456" spans="1:10" ht="18" customHeight="1" x14ac:dyDescent="0.25">
      <c r="A456" s="28"/>
      <c r="B456" s="29"/>
      <c r="C456" s="29"/>
      <c r="D456" s="30"/>
      <c r="E456" s="2"/>
      <c r="F456" s="31"/>
      <c r="G456" s="30"/>
      <c r="H456" s="1"/>
      <c r="I456" s="1"/>
      <c r="J456" s="1"/>
    </row>
    <row r="457" spans="1:10" ht="18" customHeight="1" x14ac:dyDescent="0.25">
      <c r="A457" s="28"/>
      <c r="B457" s="29"/>
      <c r="C457" s="29"/>
      <c r="D457" s="30"/>
      <c r="E457" s="2"/>
      <c r="F457" s="31"/>
      <c r="G457" s="30"/>
      <c r="H457" s="1"/>
      <c r="I457" s="1"/>
      <c r="J457" s="1"/>
    </row>
    <row r="458" spans="1:10" ht="18" customHeight="1" x14ac:dyDescent="0.25">
      <c r="A458" s="28"/>
      <c r="B458" s="29"/>
      <c r="C458" s="29"/>
      <c r="D458" s="30"/>
      <c r="E458" s="2"/>
      <c r="F458" s="31"/>
      <c r="G458" s="30"/>
      <c r="H458" s="1"/>
      <c r="I458" s="1"/>
      <c r="J458" s="1"/>
    </row>
    <row r="459" spans="1:10" ht="18" customHeight="1" x14ac:dyDescent="0.25">
      <c r="A459" s="28"/>
      <c r="B459" s="29"/>
      <c r="C459" s="29"/>
      <c r="D459" s="30"/>
      <c r="E459" s="2"/>
      <c r="F459" s="31"/>
      <c r="G459" s="30"/>
      <c r="H459" s="1"/>
      <c r="I459" s="1"/>
      <c r="J459" s="1"/>
    </row>
    <row r="460" spans="1:10" ht="18" customHeight="1" x14ac:dyDescent="0.25">
      <c r="A460" s="28"/>
      <c r="B460" s="29"/>
      <c r="C460" s="29"/>
      <c r="D460" s="30"/>
      <c r="E460" s="2"/>
      <c r="F460" s="31"/>
      <c r="G460" s="30"/>
      <c r="H460" s="1"/>
      <c r="I460" s="1"/>
      <c r="J460" s="1"/>
    </row>
    <row r="461" spans="1:10" ht="18" customHeight="1" x14ac:dyDescent="0.25">
      <c r="A461" s="28"/>
      <c r="B461" s="29"/>
      <c r="C461" s="29"/>
      <c r="D461" s="30"/>
      <c r="E461" s="2"/>
      <c r="F461" s="31"/>
      <c r="G461" s="30"/>
      <c r="H461" s="1"/>
      <c r="I461" s="1"/>
      <c r="J461" s="1"/>
    </row>
    <row r="462" spans="1:10" ht="18" customHeight="1" x14ac:dyDescent="0.25">
      <c r="A462" s="28"/>
      <c r="B462" s="29"/>
      <c r="C462" s="29"/>
      <c r="D462" s="30"/>
      <c r="E462" s="2"/>
      <c r="F462" s="31"/>
      <c r="G462" s="30"/>
      <c r="H462" s="1"/>
      <c r="I462" s="1"/>
      <c r="J462" s="1"/>
    </row>
    <row r="463" spans="1:10" ht="18" customHeight="1" x14ac:dyDescent="0.25">
      <c r="A463" s="28"/>
      <c r="B463" s="29"/>
      <c r="C463" s="29"/>
      <c r="D463" s="30"/>
      <c r="E463" s="2"/>
      <c r="F463" s="31"/>
      <c r="G463" s="30"/>
      <c r="H463" s="1"/>
      <c r="I463" s="1"/>
      <c r="J463" s="1"/>
    </row>
    <row r="464" spans="1:10" ht="18" customHeight="1" x14ac:dyDescent="0.25">
      <c r="A464" s="28"/>
      <c r="B464" s="29"/>
      <c r="C464" s="29"/>
      <c r="D464" s="30"/>
      <c r="E464" s="2"/>
      <c r="F464" s="31"/>
      <c r="G464" s="30"/>
      <c r="H464" s="1"/>
      <c r="I464" s="1"/>
      <c r="J464" s="1"/>
    </row>
    <row r="465" spans="1:10" ht="18" customHeight="1" x14ac:dyDescent="0.25">
      <c r="A465" s="28"/>
      <c r="B465" s="29"/>
      <c r="C465" s="29"/>
      <c r="D465" s="30"/>
      <c r="E465" s="2"/>
      <c r="F465" s="31"/>
      <c r="G465" s="30"/>
      <c r="H465" s="1"/>
      <c r="I465" s="1"/>
      <c r="J465" s="1"/>
    </row>
    <row r="466" spans="1:10" ht="18" customHeight="1" x14ac:dyDescent="0.25">
      <c r="A466" s="28"/>
      <c r="B466" s="29"/>
      <c r="C466" s="29"/>
      <c r="D466" s="30"/>
      <c r="E466" s="2"/>
      <c r="F466" s="31"/>
      <c r="G466" s="30"/>
      <c r="H466" s="1"/>
      <c r="I466" s="1"/>
      <c r="J466" s="1"/>
    </row>
    <row r="467" spans="1:10" ht="18" customHeight="1" x14ac:dyDescent="0.25">
      <c r="A467" s="28"/>
      <c r="B467" s="29"/>
      <c r="C467" s="29"/>
      <c r="D467" s="30"/>
      <c r="E467" s="2"/>
      <c r="F467" s="31"/>
      <c r="G467" s="30"/>
      <c r="H467" s="1"/>
      <c r="I467" s="1"/>
      <c r="J467" s="1"/>
    </row>
    <row r="468" spans="1:10" ht="18" customHeight="1" x14ac:dyDescent="0.25">
      <c r="A468" s="28"/>
      <c r="B468" s="29"/>
      <c r="C468" s="29"/>
      <c r="D468" s="30"/>
      <c r="E468" s="2"/>
      <c r="F468" s="31"/>
      <c r="G468" s="30"/>
      <c r="H468" s="1"/>
      <c r="I468" s="1"/>
      <c r="J468" s="1"/>
    </row>
    <row r="469" spans="1:10" ht="18" customHeight="1" x14ac:dyDescent="0.25">
      <c r="A469" s="28"/>
      <c r="B469" s="29"/>
      <c r="C469" s="29"/>
      <c r="D469" s="30"/>
      <c r="E469" s="2"/>
      <c r="F469" s="31"/>
      <c r="G469" s="30"/>
      <c r="H469" s="1"/>
      <c r="I469" s="1"/>
      <c r="J469" s="1"/>
    </row>
    <row r="470" spans="1:10" ht="18" customHeight="1" x14ac:dyDescent="0.25">
      <c r="A470" s="28"/>
      <c r="B470" s="29"/>
      <c r="C470" s="29"/>
      <c r="D470" s="30"/>
      <c r="E470" s="2"/>
      <c r="F470" s="31"/>
      <c r="G470" s="30"/>
      <c r="H470" s="1"/>
      <c r="I470" s="1"/>
      <c r="J470" s="1"/>
    </row>
    <row r="471" spans="1:10" ht="18" customHeight="1" x14ac:dyDescent="0.25">
      <c r="A471" s="28"/>
      <c r="B471" s="29"/>
      <c r="C471" s="29"/>
      <c r="D471" s="30"/>
      <c r="E471" s="2"/>
      <c r="F471" s="31"/>
      <c r="G471" s="30"/>
      <c r="H471" s="1"/>
      <c r="I471" s="1"/>
      <c r="J471" s="1"/>
    </row>
    <row r="472" spans="1:10" ht="18" customHeight="1" x14ac:dyDescent="0.25">
      <c r="A472" s="28"/>
      <c r="B472" s="29"/>
      <c r="C472" s="29"/>
      <c r="D472" s="30"/>
      <c r="E472" s="2"/>
      <c r="F472" s="31"/>
      <c r="G472" s="30"/>
      <c r="H472" s="1"/>
      <c r="I472" s="1"/>
      <c r="J472" s="1"/>
    </row>
    <row r="473" spans="1:10" ht="18" customHeight="1" x14ac:dyDescent="0.25">
      <c r="A473" s="28"/>
      <c r="B473" s="29"/>
      <c r="C473" s="29"/>
      <c r="D473" s="30"/>
      <c r="E473" s="2"/>
      <c r="F473" s="31"/>
      <c r="G473" s="30"/>
      <c r="H473" s="1"/>
      <c r="I473" s="1"/>
      <c r="J473" s="1"/>
    </row>
    <row r="474" spans="1:10" ht="18" customHeight="1" x14ac:dyDescent="0.25">
      <c r="A474" s="28"/>
      <c r="B474" s="29"/>
      <c r="C474" s="29"/>
      <c r="D474" s="30"/>
      <c r="E474" s="2"/>
      <c r="F474" s="31"/>
      <c r="G474" s="30"/>
      <c r="H474" s="1"/>
      <c r="I474" s="1"/>
      <c r="J474" s="1"/>
    </row>
    <row r="475" spans="1:10" ht="18" customHeight="1" x14ac:dyDescent="0.25">
      <c r="A475" s="28"/>
      <c r="B475" s="29"/>
      <c r="C475" s="29"/>
      <c r="D475" s="30"/>
      <c r="E475" s="2"/>
      <c r="F475" s="31"/>
      <c r="G475" s="30"/>
      <c r="H475" s="1"/>
      <c r="I475" s="1"/>
      <c r="J475" s="1"/>
    </row>
    <row r="476" spans="1:10" ht="18" customHeight="1" x14ac:dyDescent="0.25">
      <c r="A476" s="28"/>
      <c r="B476" s="29"/>
      <c r="C476" s="29"/>
      <c r="D476" s="30"/>
      <c r="E476" s="2"/>
      <c r="F476" s="31"/>
      <c r="G476" s="30"/>
      <c r="H476" s="1"/>
      <c r="I476" s="1"/>
      <c r="J476" s="1"/>
    </row>
    <row r="477" spans="1:10" ht="18" customHeight="1" x14ac:dyDescent="0.25">
      <c r="A477" s="28"/>
      <c r="B477" s="29"/>
      <c r="C477" s="29"/>
      <c r="D477" s="30"/>
      <c r="E477" s="2"/>
      <c r="F477" s="31"/>
      <c r="G477" s="30"/>
      <c r="H477" s="1"/>
      <c r="I477" s="1"/>
      <c r="J477" s="1"/>
    </row>
    <row r="478" spans="1:10" ht="18" customHeight="1" x14ac:dyDescent="0.25">
      <c r="A478" s="28"/>
      <c r="B478" s="29"/>
      <c r="C478" s="29"/>
      <c r="D478" s="30"/>
      <c r="E478" s="2"/>
      <c r="F478" s="31"/>
      <c r="G478" s="30"/>
      <c r="H478" s="1"/>
      <c r="I478" s="1"/>
      <c r="J478" s="1"/>
    </row>
    <row r="479" spans="1:10" ht="18" customHeight="1" x14ac:dyDescent="0.25">
      <c r="A479" s="28"/>
      <c r="B479" s="29"/>
      <c r="C479" s="29"/>
      <c r="D479" s="30"/>
      <c r="E479" s="2"/>
      <c r="F479" s="31"/>
      <c r="G479" s="30"/>
      <c r="H479" s="1"/>
      <c r="I479" s="1"/>
      <c r="J479" s="1"/>
    </row>
    <row r="480" spans="1:10" ht="18" customHeight="1" x14ac:dyDescent="0.25">
      <c r="A480" s="28"/>
      <c r="B480" s="29"/>
      <c r="C480" s="29"/>
      <c r="D480" s="30"/>
      <c r="E480" s="2"/>
      <c r="F480" s="31"/>
      <c r="G480" s="30"/>
      <c r="H480" s="1"/>
      <c r="I480" s="1"/>
      <c r="J480" s="1"/>
    </row>
    <row r="481" spans="1:10" ht="18" customHeight="1" x14ac:dyDescent="0.25">
      <c r="A481" s="28"/>
      <c r="B481" s="29"/>
      <c r="C481" s="29"/>
      <c r="D481" s="30"/>
      <c r="E481" s="2"/>
      <c r="F481" s="31"/>
      <c r="G481" s="30"/>
      <c r="H481" s="1"/>
      <c r="I481" s="1"/>
      <c r="J481" s="1"/>
    </row>
    <row r="482" spans="1:10" ht="18" customHeight="1" x14ac:dyDescent="0.25">
      <c r="A482" s="28"/>
      <c r="B482" s="29"/>
      <c r="C482" s="29"/>
      <c r="D482" s="30"/>
      <c r="E482" s="2"/>
      <c r="F482" s="31"/>
      <c r="G482" s="30"/>
      <c r="H482" s="1"/>
      <c r="I482" s="1"/>
      <c r="J482" s="1"/>
    </row>
    <row r="483" spans="1:10" ht="18" customHeight="1" x14ac:dyDescent="0.25">
      <c r="A483" s="28"/>
      <c r="B483" s="29"/>
      <c r="C483" s="29"/>
      <c r="D483" s="30"/>
      <c r="E483" s="2"/>
      <c r="F483" s="31"/>
      <c r="G483" s="30"/>
      <c r="H483" s="1"/>
      <c r="I483" s="1"/>
      <c r="J483" s="1"/>
    </row>
    <row r="484" spans="1:10" ht="18" customHeight="1" x14ac:dyDescent="0.25">
      <c r="A484" s="28"/>
      <c r="B484" s="29"/>
      <c r="C484" s="29"/>
      <c r="D484" s="30"/>
      <c r="E484" s="2"/>
      <c r="F484" s="31"/>
      <c r="G484" s="30"/>
      <c r="H484" s="1"/>
      <c r="I484" s="1"/>
      <c r="J484" s="1"/>
    </row>
    <row r="485" spans="1:10" ht="18" customHeight="1" x14ac:dyDescent="0.25">
      <c r="A485" s="28"/>
      <c r="B485" s="29"/>
      <c r="C485" s="29"/>
      <c r="D485" s="30"/>
      <c r="E485" s="2"/>
      <c r="F485" s="31"/>
      <c r="G485" s="30"/>
      <c r="H485" s="1"/>
      <c r="I485" s="1"/>
      <c r="J485" s="1"/>
    </row>
    <row r="486" spans="1:10" ht="18" customHeight="1" x14ac:dyDescent="0.25">
      <c r="A486" s="28"/>
      <c r="B486" s="29"/>
      <c r="C486" s="29"/>
      <c r="D486" s="30"/>
      <c r="E486" s="2"/>
      <c r="F486" s="31"/>
      <c r="G486" s="30"/>
      <c r="H486" s="1"/>
      <c r="I486" s="1"/>
      <c r="J486" s="1"/>
    </row>
    <row r="487" spans="1:10" ht="18" customHeight="1" x14ac:dyDescent="0.25">
      <c r="A487" s="28"/>
      <c r="B487" s="29"/>
      <c r="C487" s="29"/>
      <c r="D487" s="30"/>
      <c r="E487" s="2"/>
      <c r="F487" s="31"/>
      <c r="G487" s="30"/>
      <c r="H487" s="1"/>
      <c r="I487" s="1"/>
      <c r="J487" s="1"/>
    </row>
    <row r="488" spans="1:10" ht="18" customHeight="1" x14ac:dyDescent="0.25">
      <c r="A488" s="28"/>
      <c r="B488" s="29"/>
      <c r="C488" s="29"/>
      <c r="D488" s="30"/>
      <c r="E488" s="2"/>
      <c r="F488" s="31"/>
      <c r="G488" s="30"/>
      <c r="H488" s="1"/>
      <c r="I488" s="1"/>
      <c r="J488" s="1"/>
    </row>
    <row r="489" spans="1:10" ht="18" customHeight="1" x14ac:dyDescent="0.25">
      <c r="A489" s="28"/>
      <c r="B489" s="29"/>
      <c r="C489" s="29"/>
      <c r="D489" s="30"/>
      <c r="E489" s="2"/>
      <c r="F489" s="31"/>
      <c r="G489" s="30"/>
      <c r="H489" s="1"/>
      <c r="I489" s="1"/>
      <c r="J489" s="1"/>
    </row>
    <row r="490" spans="1:10" ht="18" customHeight="1" x14ac:dyDescent="0.25">
      <c r="A490" s="28"/>
      <c r="B490" s="29"/>
      <c r="C490" s="29"/>
      <c r="D490" s="30"/>
      <c r="E490" s="2"/>
      <c r="F490" s="31"/>
      <c r="G490" s="30"/>
      <c r="H490" s="1"/>
      <c r="I490" s="1"/>
      <c r="J490" s="1"/>
    </row>
    <row r="491" spans="1:10" ht="18" customHeight="1" x14ac:dyDescent="0.25">
      <c r="A491" s="28"/>
      <c r="B491" s="29"/>
      <c r="C491" s="29"/>
      <c r="D491" s="30"/>
      <c r="E491" s="2"/>
      <c r="F491" s="31"/>
      <c r="G491" s="30"/>
      <c r="H491" s="1"/>
      <c r="I491" s="1"/>
      <c r="J491" s="1"/>
    </row>
    <row r="492" spans="1:10" ht="18" customHeight="1" x14ac:dyDescent="0.25">
      <c r="A492" s="28"/>
      <c r="B492" s="29"/>
      <c r="C492" s="29"/>
      <c r="D492" s="30"/>
      <c r="E492" s="2"/>
      <c r="F492" s="31"/>
      <c r="G492" s="30"/>
      <c r="H492" s="1"/>
      <c r="I492" s="1"/>
      <c r="J492" s="1"/>
    </row>
    <row r="493" spans="1:10" ht="18" customHeight="1" x14ac:dyDescent="0.25">
      <c r="A493" s="28"/>
      <c r="B493" s="29"/>
      <c r="C493" s="29"/>
      <c r="D493" s="30"/>
      <c r="E493" s="2"/>
      <c r="F493" s="31"/>
      <c r="G493" s="30"/>
      <c r="H493" s="1"/>
      <c r="I493" s="1"/>
      <c r="J493" s="1"/>
    </row>
    <row r="494" spans="1:10" ht="18" customHeight="1" x14ac:dyDescent="0.25">
      <c r="A494" s="28"/>
      <c r="B494" s="29"/>
      <c r="C494" s="29"/>
      <c r="D494" s="30"/>
      <c r="E494" s="2"/>
      <c r="F494" s="31"/>
      <c r="G494" s="30"/>
      <c r="H494" s="1"/>
      <c r="I494" s="1"/>
      <c r="J494" s="1"/>
    </row>
    <row r="495" spans="1:10" ht="18" customHeight="1" x14ac:dyDescent="0.25">
      <c r="A495" s="28"/>
      <c r="B495" s="29"/>
      <c r="C495" s="29"/>
      <c r="D495" s="30"/>
      <c r="E495" s="2"/>
      <c r="F495" s="31"/>
      <c r="G495" s="30"/>
      <c r="H495" s="1"/>
      <c r="I495" s="1"/>
      <c r="J495" s="1"/>
    </row>
    <row r="496" spans="1:10" ht="18" customHeight="1" x14ac:dyDescent="0.25">
      <c r="A496" s="28"/>
      <c r="B496" s="29"/>
      <c r="C496" s="29"/>
      <c r="D496" s="30"/>
      <c r="E496" s="2"/>
      <c r="F496" s="31"/>
      <c r="G496" s="30"/>
      <c r="H496" s="1"/>
      <c r="I496" s="1"/>
      <c r="J496" s="1"/>
    </row>
    <row r="497" spans="1:10" ht="18" customHeight="1" x14ac:dyDescent="0.25">
      <c r="A497" s="28"/>
      <c r="B497" s="29"/>
      <c r="C497" s="29"/>
      <c r="D497" s="30"/>
      <c r="E497" s="2"/>
      <c r="F497" s="31"/>
      <c r="G497" s="30"/>
      <c r="H497" s="1"/>
      <c r="I497" s="1"/>
      <c r="J497" s="1"/>
    </row>
    <row r="498" spans="1:10" ht="18" customHeight="1" x14ac:dyDescent="0.25">
      <c r="A498" s="28"/>
      <c r="B498" s="29"/>
      <c r="C498" s="29"/>
      <c r="D498" s="30"/>
      <c r="E498" s="2"/>
      <c r="F498" s="31"/>
      <c r="G498" s="30"/>
      <c r="H498" s="1"/>
      <c r="I498" s="1"/>
      <c r="J498" s="1"/>
    </row>
    <row r="499" spans="1:10" ht="18" customHeight="1" x14ac:dyDescent="0.25">
      <c r="A499" s="28"/>
      <c r="B499" s="29"/>
      <c r="C499" s="29"/>
      <c r="D499" s="30"/>
      <c r="E499" s="2"/>
      <c r="F499" s="31"/>
      <c r="G499" s="30"/>
      <c r="H499" s="1"/>
      <c r="I499" s="1"/>
      <c r="J499" s="1"/>
    </row>
    <row r="500" spans="1:10" ht="18" customHeight="1" x14ac:dyDescent="0.25">
      <c r="A500" s="28"/>
      <c r="B500" s="29"/>
      <c r="C500" s="29"/>
      <c r="D500" s="30"/>
      <c r="E500" s="2"/>
      <c r="F500" s="31"/>
      <c r="G500" s="30"/>
      <c r="H500" s="1"/>
      <c r="I500" s="1"/>
      <c r="J500" s="1"/>
    </row>
    <row r="501" spans="1:10" ht="18" customHeight="1" x14ac:dyDescent="0.25">
      <c r="A501" s="28"/>
      <c r="B501" s="29"/>
      <c r="C501" s="29"/>
      <c r="D501" s="30"/>
      <c r="E501" s="2"/>
      <c r="F501" s="31"/>
      <c r="G501" s="30"/>
      <c r="H501" s="1"/>
      <c r="I501" s="1"/>
      <c r="J501" s="1"/>
    </row>
    <row r="502" spans="1:10" ht="18" customHeight="1" x14ac:dyDescent="0.25">
      <c r="A502" s="28"/>
      <c r="B502" s="29"/>
      <c r="C502" s="29"/>
      <c r="D502" s="30"/>
      <c r="E502" s="2"/>
      <c r="F502" s="31"/>
      <c r="G502" s="30"/>
      <c r="H502" s="1"/>
      <c r="I502" s="1"/>
      <c r="J502" s="1"/>
    </row>
    <row r="503" spans="1:10" ht="18" customHeight="1" x14ac:dyDescent="0.25">
      <c r="A503" s="28"/>
      <c r="B503" s="29"/>
      <c r="C503" s="29"/>
      <c r="D503" s="30"/>
      <c r="E503" s="2"/>
      <c r="F503" s="31"/>
      <c r="G503" s="30"/>
      <c r="H503" s="1"/>
      <c r="I503" s="1"/>
      <c r="J503" s="1"/>
    </row>
    <row r="504" spans="1:10" ht="18" customHeight="1" x14ac:dyDescent="0.25">
      <c r="A504" s="28"/>
      <c r="B504" s="29"/>
      <c r="C504" s="29"/>
      <c r="D504" s="30"/>
      <c r="E504" s="2"/>
      <c r="F504" s="31"/>
      <c r="G504" s="30"/>
      <c r="H504" s="1"/>
      <c r="I504" s="1"/>
      <c r="J504" s="1"/>
    </row>
    <row r="505" spans="1:10" ht="18" customHeight="1" x14ac:dyDescent="0.25">
      <c r="A505" s="28"/>
      <c r="B505" s="29"/>
      <c r="C505" s="29"/>
      <c r="D505" s="30"/>
      <c r="E505" s="2"/>
      <c r="F505" s="31"/>
      <c r="G505" s="30"/>
      <c r="H505" s="1"/>
      <c r="I505" s="1"/>
      <c r="J505" s="1"/>
    </row>
    <row r="506" spans="1:10" ht="18" customHeight="1" x14ac:dyDescent="0.25">
      <c r="A506" s="28"/>
      <c r="B506" s="29"/>
      <c r="C506" s="29"/>
      <c r="D506" s="30"/>
      <c r="E506" s="2"/>
      <c r="F506" s="31"/>
      <c r="G506" s="30"/>
      <c r="H506" s="1"/>
      <c r="I506" s="1"/>
      <c r="J506" s="1"/>
    </row>
    <row r="507" spans="1:10" ht="18" customHeight="1" x14ac:dyDescent="0.25">
      <c r="A507" s="28"/>
      <c r="B507" s="29"/>
      <c r="C507" s="29"/>
      <c r="D507" s="30"/>
      <c r="E507" s="2"/>
      <c r="F507" s="31"/>
      <c r="G507" s="30"/>
      <c r="H507" s="1"/>
      <c r="I507" s="1"/>
      <c r="J507" s="1"/>
    </row>
    <row r="508" spans="1:10" ht="18" customHeight="1" x14ac:dyDescent="0.25">
      <c r="A508" s="28"/>
      <c r="B508" s="29"/>
      <c r="C508" s="29"/>
      <c r="D508" s="30"/>
      <c r="E508" s="2"/>
      <c r="F508" s="31"/>
      <c r="G508" s="30"/>
      <c r="H508" s="1"/>
      <c r="I508" s="1"/>
      <c r="J508" s="1"/>
    </row>
    <row r="509" spans="1:10" ht="18" customHeight="1" x14ac:dyDescent="0.25">
      <c r="A509" s="28"/>
      <c r="B509" s="29"/>
      <c r="C509" s="29"/>
      <c r="D509" s="30"/>
      <c r="E509" s="2"/>
      <c r="F509" s="31"/>
      <c r="G509" s="30"/>
      <c r="H509" s="1"/>
      <c r="I509" s="1"/>
      <c r="J509" s="1"/>
    </row>
    <row r="510" spans="1:10" ht="18" customHeight="1" x14ac:dyDescent="0.25">
      <c r="A510" s="28"/>
      <c r="B510" s="29"/>
      <c r="C510" s="29"/>
      <c r="D510" s="30"/>
      <c r="E510" s="2"/>
      <c r="F510" s="31"/>
      <c r="G510" s="30"/>
      <c r="H510" s="1"/>
      <c r="I510" s="1"/>
      <c r="J510" s="1"/>
    </row>
    <row r="511" spans="1:10" ht="18" customHeight="1" x14ac:dyDescent="0.25">
      <c r="A511" s="28"/>
      <c r="B511" s="29"/>
      <c r="C511" s="29"/>
      <c r="D511" s="30"/>
      <c r="E511" s="2"/>
      <c r="F511" s="31"/>
      <c r="G511" s="30"/>
      <c r="H511" s="1"/>
      <c r="I511" s="1"/>
      <c r="J511" s="1"/>
    </row>
    <row r="512" spans="1:10" ht="18" customHeight="1" x14ac:dyDescent="0.25">
      <c r="A512" s="28"/>
      <c r="B512" s="29"/>
      <c r="C512" s="29"/>
      <c r="D512" s="30"/>
      <c r="E512" s="2"/>
      <c r="F512" s="31"/>
      <c r="G512" s="30"/>
      <c r="H512" s="1"/>
      <c r="I512" s="1"/>
      <c r="J512" s="1"/>
    </row>
    <row r="513" spans="1:10" ht="18" customHeight="1" x14ac:dyDescent="0.25">
      <c r="A513" s="28"/>
      <c r="B513" s="29"/>
      <c r="C513" s="29"/>
      <c r="D513" s="30"/>
      <c r="E513" s="2"/>
      <c r="F513" s="31"/>
      <c r="G513" s="30"/>
      <c r="H513" s="1"/>
      <c r="I513" s="1"/>
      <c r="J513" s="1"/>
    </row>
    <row r="514" spans="1:10" ht="18" customHeight="1" x14ac:dyDescent="0.25">
      <c r="A514" s="28"/>
      <c r="B514" s="29"/>
      <c r="C514" s="29"/>
      <c r="D514" s="30"/>
      <c r="E514" s="2"/>
      <c r="F514" s="31"/>
      <c r="G514" s="30"/>
      <c r="H514" s="1"/>
      <c r="I514" s="1"/>
      <c r="J514" s="1"/>
    </row>
    <row r="515" spans="1:10" ht="18" customHeight="1" x14ac:dyDescent="0.25">
      <c r="A515" s="28"/>
      <c r="B515" s="29"/>
      <c r="C515" s="29"/>
      <c r="D515" s="30"/>
      <c r="E515" s="2"/>
      <c r="F515" s="31"/>
      <c r="G515" s="30"/>
      <c r="H515" s="1"/>
      <c r="I515" s="1"/>
      <c r="J515" s="1"/>
    </row>
    <row r="516" spans="1:10" ht="18" customHeight="1" x14ac:dyDescent="0.25">
      <c r="A516" s="28"/>
      <c r="B516" s="29"/>
      <c r="C516" s="29"/>
      <c r="D516" s="30"/>
      <c r="E516" s="2"/>
      <c r="F516" s="31"/>
      <c r="G516" s="30"/>
      <c r="H516" s="1"/>
      <c r="I516" s="1"/>
      <c r="J516" s="1"/>
    </row>
    <row r="517" spans="1:10" ht="18" customHeight="1" x14ac:dyDescent="0.25">
      <c r="A517" s="28"/>
      <c r="B517" s="29"/>
      <c r="C517" s="29"/>
      <c r="D517" s="30"/>
      <c r="E517" s="2"/>
      <c r="F517" s="31"/>
      <c r="G517" s="30"/>
      <c r="H517" s="1"/>
      <c r="I517" s="1"/>
      <c r="J517" s="1"/>
    </row>
    <row r="518" spans="1:10" ht="18" customHeight="1" x14ac:dyDescent="0.25">
      <c r="A518" s="28"/>
      <c r="B518" s="29"/>
      <c r="C518" s="29"/>
      <c r="D518" s="30"/>
      <c r="E518" s="2"/>
      <c r="F518" s="31"/>
      <c r="G518" s="30"/>
      <c r="H518" s="1"/>
      <c r="I518" s="1"/>
      <c r="J518" s="1"/>
    </row>
    <row r="519" spans="1:10" ht="18" customHeight="1" x14ac:dyDescent="0.25">
      <c r="A519" s="28"/>
      <c r="B519" s="29"/>
      <c r="C519" s="29"/>
      <c r="D519" s="30"/>
      <c r="E519" s="2"/>
      <c r="F519" s="31"/>
      <c r="G519" s="30"/>
      <c r="H519" s="1"/>
      <c r="I519" s="1"/>
      <c r="J519" s="1"/>
    </row>
    <row r="520" spans="1:10" ht="18" customHeight="1" x14ac:dyDescent="0.25">
      <c r="A520" s="28"/>
      <c r="B520" s="29"/>
      <c r="C520" s="29"/>
      <c r="D520" s="30"/>
      <c r="E520" s="2"/>
      <c r="F520" s="31"/>
      <c r="G520" s="30"/>
      <c r="H520" s="1"/>
      <c r="I520" s="1"/>
      <c r="J520" s="1"/>
    </row>
    <row r="521" spans="1:10" ht="18" customHeight="1" x14ac:dyDescent="0.25">
      <c r="A521" s="28"/>
      <c r="B521" s="29"/>
      <c r="C521" s="29"/>
      <c r="D521" s="30"/>
      <c r="E521" s="2"/>
      <c r="F521" s="31"/>
      <c r="G521" s="30"/>
      <c r="H521" s="1"/>
      <c r="I521" s="1"/>
      <c r="J521" s="1"/>
    </row>
    <row r="522" spans="1:10" ht="18" customHeight="1" x14ac:dyDescent="0.25">
      <c r="A522" s="28"/>
      <c r="B522" s="29"/>
      <c r="C522" s="29"/>
      <c r="D522" s="30"/>
      <c r="E522" s="2"/>
      <c r="F522" s="31"/>
      <c r="G522" s="30"/>
      <c r="H522" s="1"/>
      <c r="I522" s="1"/>
      <c r="J522" s="1"/>
    </row>
    <row r="523" spans="1:10" ht="18" customHeight="1" x14ac:dyDescent="0.25">
      <c r="A523" s="28"/>
      <c r="B523" s="29"/>
      <c r="C523" s="29"/>
      <c r="D523" s="30"/>
      <c r="E523" s="2"/>
      <c r="F523" s="31"/>
      <c r="G523" s="30"/>
      <c r="H523" s="1"/>
      <c r="I523" s="1"/>
      <c r="J523" s="1"/>
    </row>
    <row r="524" spans="1:10" ht="18" customHeight="1" x14ac:dyDescent="0.25">
      <c r="A524" s="28"/>
      <c r="B524" s="29"/>
      <c r="C524" s="29"/>
      <c r="D524" s="30"/>
      <c r="E524" s="2"/>
      <c r="F524" s="31"/>
      <c r="G524" s="30"/>
      <c r="H524" s="1"/>
      <c r="I524" s="1"/>
      <c r="J524" s="1"/>
    </row>
    <row r="525" spans="1:10" ht="18" customHeight="1" x14ac:dyDescent="0.25">
      <c r="A525" s="28"/>
      <c r="B525" s="29"/>
      <c r="C525" s="29"/>
      <c r="D525" s="30"/>
      <c r="E525" s="2"/>
      <c r="F525" s="31"/>
      <c r="G525" s="30"/>
      <c r="H525" s="1"/>
      <c r="I525" s="1"/>
      <c r="J525" s="1"/>
    </row>
    <row r="526" spans="1:10" ht="18" customHeight="1" x14ac:dyDescent="0.25">
      <c r="A526" s="28"/>
      <c r="B526" s="29"/>
      <c r="C526" s="29"/>
      <c r="D526" s="30"/>
      <c r="E526" s="2"/>
      <c r="F526" s="31"/>
      <c r="G526" s="30"/>
      <c r="H526" s="1"/>
      <c r="I526" s="1"/>
      <c r="J526" s="1"/>
    </row>
    <row r="527" spans="1:10" ht="18" customHeight="1" x14ac:dyDescent="0.25">
      <c r="A527" s="28"/>
      <c r="B527" s="29"/>
      <c r="C527" s="29"/>
      <c r="D527" s="30"/>
      <c r="E527" s="2"/>
      <c r="F527" s="31"/>
      <c r="G527" s="30"/>
      <c r="H527" s="1"/>
      <c r="I527" s="1"/>
      <c r="J527" s="1"/>
    </row>
    <row r="528" spans="1:10" ht="18" customHeight="1" x14ac:dyDescent="0.25">
      <c r="A528" s="28"/>
      <c r="B528" s="29"/>
      <c r="C528" s="29"/>
      <c r="D528" s="30"/>
      <c r="E528" s="2"/>
      <c r="F528" s="31"/>
      <c r="G528" s="30"/>
      <c r="H528" s="1"/>
      <c r="I528" s="1"/>
      <c r="J528" s="1"/>
    </row>
    <row r="529" spans="1:10" ht="18" customHeight="1" x14ac:dyDescent="0.25">
      <c r="A529" s="28"/>
      <c r="B529" s="29"/>
      <c r="C529" s="29"/>
      <c r="D529" s="30"/>
      <c r="E529" s="2"/>
      <c r="F529" s="31"/>
      <c r="G529" s="30"/>
      <c r="H529" s="1"/>
      <c r="I529" s="1"/>
      <c r="J529" s="1"/>
    </row>
    <row r="530" spans="1:10" ht="18" customHeight="1" x14ac:dyDescent="0.25">
      <c r="A530" s="28"/>
      <c r="B530" s="29"/>
      <c r="C530" s="29"/>
      <c r="D530" s="30"/>
      <c r="E530" s="2"/>
      <c r="F530" s="31"/>
      <c r="G530" s="30"/>
      <c r="H530" s="1"/>
      <c r="I530" s="1"/>
      <c r="J530" s="1"/>
    </row>
    <row r="531" spans="1:10" ht="18" customHeight="1" x14ac:dyDescent="0.25">
      <c r="A531" s="28"/>
      <c r="B531" s="29"/>
      <c r="C531" s="29"/>
      <c r="D531" s="30"/>
      <c r="E531" s="2"/>
      <c r="F531" s="31"/>
      <c r="G531" s="30"/>
      <c r="H531" s="1"/>
      <c r="I531" s="1"/>
      <c r="J531" s="1"/>
    </row>
    <row r="532" spans="1:10" ht="18" customHeight="1" x14ac:dyDescent="0.25">
      <c r="A532" s="28"/>
      <c r="B532" s="29"/>
      <c r="C532" s="29"/>
      <c r="D532" s="30"/>
      <c r="E532" s="2"/>
      <c r="F532" s="31"/>
      <c r="G532" s="30"/>
      <c r="H532" s="1"/>
      <c r="I532" s="1"/>
      <c r="J532" s="1"/>
    </row>
    <row r="533" spans="1:10" ht="18" customHeight="1" x14ac:dyDescent="0.25">
      <c r="A533" s="28"/>
      <c r="B533" s="29"/>
      <c r="C533" s="29"/>
      <c r="D533" s="30"/>
      <c r="E533" s="2"/>
      <c r="F533" s="31"/>
      <c r="G533" s="30"/>
      <c r="H533" s="1"/>
      <c r="I533" s="1"/>
      <c r="J533" s="1"/>
    </row>
    <row r="534" spans="1:10" ht="18" customHeight="1" x14ac:dyDescent="0.25">
      <c r="A534" s="28"/>
      <c r="B534" s="29"/>
      <c r="C534" s="29"/>
      <c r="D534" s="30"/>
      <c r="E534" s="2"/>
      <c r="F534" s="31"/>
      <c r="G534" s="30"/>
      <c r="H534" s="1"/>
      <c r="I534" s="1"/>
      <c r="J534" s="1"/>
    </row>
    <row r="535" spans="1:10" ht="18" customHeight="1" x14ac:dyDescent="0.25">
      <c r="A535" s="28"/>
      <c r="B535" s="29"/>
      <c r="C535" s="29"/>
      <c r="D535" s="30"/>
      <c r="E535" s="2"/>
      <c r="F535" s="31"/>
      <c r="G535" s="30"/>
      <c r="H535" s="1"/>
      <c r="I535" s="1"/>
      <c r="J535" s="1"/>
    </row>
    <row r="536" spans="1:10" ht="18" customHeight="1" x14ac:dyDescent="0.25">
      <c r="A536" s="28"/>
      <c r="B536" s="29"/>
      <c r="C536" s="29"/>
      <c r="D536" s="30"/>
      <c r="E536" s="2"/>
      <c r="F536" s="31"/>
      <c r="G536" s="30"/>
      <c r="H536" s="1"/>
      <c r="I536" s="1"/>
      <c r="J536" s="1"/>
    </row>
    <row r="537" spans="1:10" ht="18" customHeight="1" x14ac:dyDescent="0.25">
      <c r="A537" s="28"/>
      <c r="B537" s="29"/>
      <c r="C537" s="29"/>
      <c r="D537" s="30"/>
      <c r="E537" s="2"/>
      <c r="F537" s="31"/>
      <c r="G537" s="30"/>
      <c r="H537" s="1"/>
      <c r="I537" s="1"/>
      <c r="J537" s="1"/>
    </row>
    <row r="538" spans="1:10" ht="18" customHeight="1" x14ac:dyDescent="0.25">
      <c r="A538" s="28"/>
      <c r="B538" s="29"/>
      <c r="C538" s="29"/>
      <c r="D538" s="30"/>
      <c r="E538" s="2"/>
      <c r="F538" s="31"/>
      <c r="G538" s="30"/>
      <c r="H538" s="1"/>
      <c r="I538" s="1"/>
      <c r="J538" s="1"/>
    </row>
    <row r="539" spans="1:10" ht="18" customHeight="1" x14ac:dyDescent="0.25">
      <c r="A539" s="28"/>
      <c r="B539" s="29"/>
      <c r="C539" s="29"/>
      <c r="D539" s="30"/>
      <c r="E539" s="2"/>
      <c r="F539" s="31"/>
      <c r="G539" s="30"/>
      <c r="H539" s="1"/>
      <c r="I539" s="1"/>
      <c r="J539" s="1"/>
    </row>
    <row r="540" spans="1:10" ht="18" customHeight="1" x14ac:dyDescent="0.25">
      <c r="A540" s="28"/>
      <c r="B540" s="29"/>
      <c r="C540" s="29"/>
      <c r="D540" s="30"/>
      <c r="E540" s="2"/>
      <c r="F540" s="31"/>
      <c r="G540" s="30"/>
      <c r="H540" s="1"/>
      <c r="I540" s="1"/>
      <c r="J540" s="1"/>
    </row>
    <row r="541" spans="1:10" ht="18" customHeight="1" x14ac:dyDescent="0.25">
      <c r="A541" s="28"/>
      <c r="B541" s="29"/>
      <c r="C541" s="29"/>
      <c r="D541" s="30"/>
      <c r="E541" s="2"/>
      <c r="F541" s="31"/>
      <c r="G541" s="30"/>
      <c r="H541" s="1"/>
      <c r="I541" s="1"/>
      <c r="J541" s="1"/>
    </row>
    <row r="542" spans="1:10" ht="18" customHeight="1" x14ac:dyDescent="0.25">
      <c r="A542" s="28"/>
      <c r="B542" s="29"/>
      <c r="C542" s="29"/>
      <c r="D542" s="30"/>
      <c r="E542" s="2"/>
      <c r="F542" s="31"/>
      <c r="G542" s="30"/>
      <c r="H542" s="1"/>
      <c r="I542" s="1"/>
      <c r="J542" s="1"/>
    </row>
    <row r="543" spans="1:10" ht="18" customHeight="1" x14ac:dyDescent="0.25">
      <c r="A543" s="28"/>
      <c r="B543" s="29"/>
      <c r="C543" s="29"/>
      <c r="D543" s="30"/>
      <c r="E543" s="2"/>
      <c r="F543" s="31"/>
      <c r="G543" s="30"/>
      <c r="H543" s="1"/>
      <c r="I543" s="1"/>
      <c r="J543" s="1"/>
    </row>
    <row r="544" spans="1:10" ht="18" customHeight="1" x14ac:dyDescent="0.25">
      <c r="A544" s="28"/>
      <c r="B544" s="29"/>
      <c r="C544" s="29"/>
      <c r="D544" s="30"/>
      <c r="E544" s="2"/>
      <c r="F544" s="31"/>
      <c r="G544" s="30"/>
      <c r="H544" s="1"/>
      <c r="I544" s="1"/>
      <c r="J544" s="1"/>
    </row>
    <row r="545" spans="1:10" ht="18" customHeight="1" x14ac:dyDescent="0.25">
      <c r="A545" s="28"/>
      <c r="B545" s="29"/>
      <c r="C545" s="29"/>
      <c r="D545" s="30"/>
      <c r="E545" s="2"/>
      <c r="F545" s="31"/>
      <c r="G545" s="30"/>
      <c r="H545" s="1"/>
      <c r="I545" s="1"/>
      <c r="J545" s="1"/>
    </row>
    <row r="546" spans="1:10" ht="18" customHeight="1" x14ac:dyDescent="0.25">
      <c r="A546" s="28"/>
      <c r="B546" s="29"/>
      <c r="C546" s="29"/>
      <c r="D546" s="30"/>
      <c r="E546" s="2"/>
      <c r="F546" s="31"/>
      <c r="G546" s="30"/>
      <c r="H546" s="1"/>
      <c r="I546" s="1"/>
      <c r="J546" s="1"/>
    </row>
    <row r="547" spans="1:10" ht="18" customHeight="1" x14ac:dyDescent="0.25">
      <c r="A547" s="28"/>
      <c r="B547" s="29"/>
      <c r="C547" s="29"/>
      <c r="D547" s="30"/>
      <c r="E547" s="2"/>
      <c r="F547" s="31"/>
      <c r="G547" s="30"/>
      <c r="H547" s="1"/>
      <c r="I547" s="1"/>
      <c r="J547" s="1"/>
    </row>
    <row r="548" spans="1:10" ht="18" customHeight="1" x14ac:dyDescent="0.25">
      <c r="A548" s="28"/>
      <c r="B548" s="29"/>
      <c r="C548" s="29"/>
      <c r="D548" s="30"/>
      <c r="E548" s="2"/>
      <c r="F548" s="31"/>
      <c r="G548" s="30"/>
      <c r="H548" s="1"/>
      <c r="I548" s="1"/>
      <c r="J548" s="1"/>
    </row>
    <row r="549" spans="1:10" ht="18" customHeight="1" x14ac:dyDescent="0.25">
      <c r="A549" s="28"/>
      <c r="B549" s="29"/>
      <c r="C549" s="29"/>
      <c r="D549" s="30"/>
      <c r="E549" s="2"/>
      <c r="F549" s="31"/>
      <c r="G549" s="30"/>
      <c r="H549" s="1"/>
      <c r="I549" s="1"/>
      <c r="J549" s="1"/>
    </row>
    <row r="550" spans="1:10" ht="18" customHeight="1" x14ac:dyDescent="0.25">
      <c r="A550" s="28"/>
      <c r="B550" s="29"/>
      <c r="C550" s="29"/>
      <c r="D550" s="30"/>
      <c r="E550" s="2"/>
      <c r="F550" s="31"/>
      <c r="G550" s="30"/>
      <c r="H550" s="1"/>
      <c r="I550" s="1"/>
      <c r="J550" s="1"/>
    </row>
    <row r="551" spans="1:10" ht="18" customHeight="1" x14ac:dyDescent="0.25">
      <c r="A551" s="28"/>
      <c r="B551" s="29"/>
      <c r="C551" s="29"/>
      <c r="D551" s="30"/>
      <c r="E551" s="2"/>
      <c r="F551" s="31"/>
      <c r="G551" s="30"/>
      <c r="H551" s="1"/>
      <c r="I551" s="1"/>
      <c r="J551" s="1"/>
    </row>
    <row r="552" spans="1:10" ht="18" customHeight="1" x14ac:dyDescent="0.25">
      <c r="A552" s="28"/>
      <c r="B552" s="29"/>
      <c r="C552" s="29"/>
      <c r="D552" s="30"/>
      <c r="E552" s="2"/>
      <c r="F552" s="31"/>
      <c r="G552" s="30"/>
      <c r="H552" s="1"/>
      <c r="I552" s="1"/>
      <c r="J552" s="1"/>
    </row>
    <row r="553" spans="1:10" ht="18" customHeight="1" x14ac:dyDescent="0.25">
      <c r="A553" s="28"/>
      <c r="B553" s="29"/>
      <c r="C553" s="29"/>
      <c r="D553" s="30"/>
      <c r="E553" s="2"/>
      <c r="F553" s="31"/>
      <c r="G553" s="30"/>
      <c r="H553" s="1"/>
      <c r="I553" s="1"/>
      <c r="J553" s="1"/>
    </row>
    <row r="554" spans="1:10" ht="18" customHeight="1" x14ac:dyDescent="0.25">
      <c r="A554" s="28"/>
      <c r="B554" s="29"/>
      <c r="C554" s="29"/>
      <c r="D554" s="30"/>
      <c r="E554" s="2"/>
      <c r="F554" s="31"/>
      <c r="G554" s="30"/>
      <c r="H554" s="1"/>
      <c r="I554" s="1"/>
      <c r="J554" s="1"/>
    </row>
    <row r="555" spans="1:10" ht="18" customHeight="1" x14ac:dyDescent="0.25">
      <c r="A555" s="28"/>
      <c r="B555" s="29"/>
      <c r="C555" s="29"/>
      <c r="D555" s="30"/>
      <c r="E555" s="2"/>
      <c r="F555" s="31"/>
      <c r="G555" s="30"/>
      <c r="H555" s="1"/>
      <c r="I555" s="1"/>
      <c r="J555" s="1"/>
    </row>
    <row r="556" spans="1:10" ht="18" customHeight="1" x14ac:dyDescent="0.25">
      <c r="A556" s="28"/>
      <c r="B556" s="29"/>
      <c r="C556" s="29"/>
      <c r="D556" s="30"/>
      <c r="E556" s="2"/>
      <c r="F556" s="31"/>
      <c r="G556" s="30"/>
      <c r="H556" s="1"/>
      <c r="I556" s="1"/>
      <c r="J556" s="1"/>
    </row>
    <row r="557" spans="1:10" ht="18" customHeight="1" x14ac:dyDescent="0.25">
      <c r="A557" s="28"/>
      <c r="B557" s="29"/>
      <c r="C557" s="29"/>
      <c r="D557" s="30"/>
      <c r="E557" s="2"/>
      <c r="F557" s="31"/>
      <c r="G557" s="30"/>
      <c r="H557" s="1"/>
      <c r="I557" s="1"/>
      <c r="J557" s="1"/>
    </row>
    <row r="558" spans="1:10" ht="18" customHeight="1" x14ac:dyDescent="0.25">
      <c r="A558" s="28"/>
      <c r="B558" s="29"/>
      <c r="C558" s="29"/>
      <c r="D558" s="30"/>
      <c r="E558" s="2"/>
      <c r="F558" s="31"/>
      <c r="G558" s="30"/>
      <c r="H558" s="1"/>
      <c r="I558" s="1"/>
      <c r="J558" s="1"/>
    </row>
    <row r="559" spans="1:10" ht="18" customHeight="1" x14ac:dyDescent="0.25">
      <c r="A559" s="28"/>
      <c r="B559" s="29"/>
      <c r="C559" s="29"/>
      <c r="D559" s="30"/>
      <c r="E559" s="2"/>
      <c r="F559" s="31"/>
      <c r="G559" s="30"/>
      <c r="H559" s="1"/>
      <c r="I559" s="1"/>
      <c r="J559" s="1"/>
    </row>
    <row r="560" spans="1:10" ht="18" customHeight="1" x14ac:dyDescent="0.25">
      <c r="A560" s="28"/>
      <c r="B560" s="29"/>
      <c r="C560" s="29"/>
      <c r="D560" s="30"/>
      <c r="E560" s="2"/>
      <c r="F560" s="31"/>
      <c r="G560" s="30"/>
      <c r="H560" s="1"/>
      <c r="I560" s="1"/>
      <c r="J560" s="1"/>
    </row>
    <row r="561" spans="1:10" ht="18" customHeight="1" x14ac:dyDescent="0.25">
      <c r="A561" s="28"/>
      <c r="B561" s="29"/>
      <c r="C561" s="29"/>
      <c r="D561" s="30"/>
      <c r="E561" s="2"/>
      <c r="F561" s="31"/>
      <c r="G561" s="30"/>
      <c r="H561" s="1"/>
      <c r="I561" s="1"/>
      <c r="J561" s="1"/>
    </row>
    <row r="562" spans="1:10" ht="18" customHeight="1" x14ac:dyDescent="0.25">
      <c r="A562" s="28"/>
      <c r="B562" s="29"/>
      <c r="C562" s="29"/>
      <c r="D562" s="30"/>
      <c r="E562" s="2"/>
      <c r="F562" s="31"/>
      <c r="G562" s="30"/>
      <c r="H562" s="1"/>
      <c r="I562" s="1"/>
      <c r="J562" s="1"/>
    </row>
    <row r="563" spans="1:10" ht="18" customHeight="1" x14ac:dyDescent="0.25">
      <c r="A563" s="28"/>
      <c r="B563" s="29"/>
      <c r="C563" s="29"/>
      <c r="D563" s="30"/>
      <c r="E563" s="2"/>
      <c r="F563" s="31"/>
      <c r="G563" s="30"/>
      <c r="H563" s="1"/>
      <c r="I563" s="1"/>
      <c r="J563" s="1"/>
    </row>
    <row r="564" spans="1:10" ht="18" customHeight="1" x14ac:dyDescent="0.25">
      <c r="A564" s="28"/>
      <c r="B564" s="29"/>
      <c r="C564" s="29"/>
      <c r="D564" s="30"/>
      <c r="E564" s="2"/>
      <c r="F564" s="31"/>
      <c r="G564" s="30"/>
      <c r="H564" s="1"/>
      <c r="I564" s="1"/>
      <c r="J564" s="1"/>
    </row>
    <row r="565" spans="1:10" ht="18" customHeight="1" x14ac:dyDescent="0.25">
      <c r="A565" s="28"/>
      <c r="B565" s="29"/>
      <c r="C565" s="29"/>
      <c r="D565" s="30"/>
      <c r="E565" s="2"/>
      <c r="F565" s="31"/>
      <c r="G565" s="30"/>
      <c r="H565" s="1"/>
      <c r="I565" s="1"/>
      <c r="J565" s="1"/>
    </row>
    <row r="566" spans="1:10" ht="18" customHeight="1" x14ac:dyDescent="0.25">
      <c r="A566" s="28"/>
      <c r="B566" s="29"/>
      <c r="C566" s="29"/>
      <c r="D566" s="30"/>
      <c r="E566" s="2"/>
      <c r="F566" s="31"/>
      <c r="G566" s="30"/>
      <c r="H566" s="1"/>
      <c r="I566" s="1"/>
      <c r="J566" s="1"/>
    </row>
    <row r="567" spans="1:10" ht="18" customHeight="1" x14ac:dyDescent="0.25">
      <c r="A567" s="28"/>
      <c r="B567" s="29"/>
      <c r="C567" s="29"/>
      <c r="D567" s="30"/>
      <c r="E567" s="2"/>
      <c r="F567" s="31"/>
      <c r="G567" s="30"/>
      <c r="H567" s="1"/>
      <c r="I567" s="1"/>
      <c r="J567" s="1"/>
    </row>
    <row r="568" spans="1:10" ht="18" customHeight="1" x14ac:dyDescent="0.25">
      <c r="A568" s="28"/>
      <c r="B568" s="29"/>
      <c r="C568" s="29"/>
      <c r="D568" s="30"/>
      <c r="E568" s="2"/>
      <c r="F568" s="31"/>
      <c r="G568" s="30"/>
      <c r="H568" s="1"/>
      <c r="I568" s="1"/>
      <c r="J568" s="1"/>
    </row>
    <row r="569" spans="1:10" ht="18" customHeight="1" x14ac:dyDescent="0.25">
      <c r="A569" s="28"/>
      <c r="B569" s="29"/>
      <c r="C569" s="29"/>
      <c r="D569" s="30"/>
      <c r="E569" s="2"/>
      <c r="F569" s="31"/>
      <c r="G569" s="30"/>
      <c r="H569" s="1"/>
      <c r="I569" s="1"/>
      <c r="J569" s="1"/>
    </row>
    <row r="570" spans="1:10" ht="18" customHeight="1" x14ac:dyDescent="0.25">
      <c r="A570" s="28"/>
      <c r="B570" s="29"/>
      <c r="C570" s="29"/>
      <c r="D570" s="30"/>
      <c r="E570" s="2"/>
      <c r="F570" s="31"/>
      <c r="G570" s="30"/>
      <c r="H570" s="1"/>
      <c r="I570" s="1"/>
      <c r="J570" s="1"/>
    </row>
    <row r="571" spans="1:10" ht="18" customHeight="1" x14ac:dyDescent="0.25">
      <c r="A571" s="28"/>
      <c r="B571" s="29"/>
      <c r="C571" s="29"/>
      <c r="D571" s="30"/>
      <c r="E571" s="2"/>
      <c r="F571" s="31"/>
      <c r="G571" s="30"/>
      <c r="H571" s="1"/>
      <c r="I571" s="1"/>
      <c r="J571" s="1"/>
    </row>
    <row r="572" spans="1:10" ht="18" customHeight="1" x14ac:dyDescent="0.25">
      <c r="A572" s="28"/>
      <c r="B572" s="29"/>
      <c r="C572" s="29"/>
      <c r="D572" s="30"/>
      <c r="E572" s="2"/>
      <c r="F572" s="31"/>
      <c r="G572" s="30"/>
      <c r="H572" s="1"/>
      <c r="I572" s="1"/>
      <c r="J572" s="1"/>
    </row>
    <row r="573" spans="1:10" ht="18" customHeight="1" x14ac:dyDescent="0.25">
      <c r="A573" s="28"/>
      <c r="B573" s="29"/>
      <c r="C573" s="29"/>
      <c r="D573" s="30"/>
      <c r="E573" s="2"/>
      <c r="F573" s="31"/>
      <c r="G573" s="30"/>
      <c r="H573" s="1"/>
      <c r="I573" s="1"/>
      <c r="J573" s="1"/>
    </row>
    <row r="574" spans="1:10" ht="18" customHeight="1" x14ac:dyDescent="0.25">
      <c r="A574" s="28"/>
      <c r="B574" s="29"/>
      <c r="C574" s="29"/>
      <c r="D574" s="30"/>
      <c r="E574" s="2"/>
      <c r="F574" s="31"/>
      <c r="G574" s="30"/>
      <c r="H574" s="1"/>
      <c r="I574" s="1"/>
      <c r="J574" s="1"/>
    </row>
    <row r="575" spans="1:10" ht="18" customHeight="1" x14ac:dyDescent="0.25">
      <c r="A575" s="28"/>
      <c r="B575" s="29"/>
      <c r="C575" s="29"/>
      <c r="D575" s="30"/>
      <c r="E575" s="2"/>
      <c r="F575" s="31"/>
      <c r="G575" s="30"/>
      <c r="H575" s="1"/>
      <c r="I575" s="1"/>
      <c r="J575" s="1"/>
    </row>
    <row r="576" spans="1:10" ht="18" customHeight="1" x14ac:dyDescent="0.25">
      <c r="A576" s="28"/>
      <c r="B576" s="29"/>
      <c r="C576" s="29"/>
      <c r="D576" s="30"/>
      <c r="E576" s="2"/>
      <c r="F576" s="31"/>
      <c r="G576" s="30"/>
      <c r="H576" s="1"/>
      <c r="I576" s="1"/>
      <c r="J576" s="1"/>
    </row>
    <row r="577" spans="1:10" ht="18" customHeight="1" x14ac:dyDescent="0.25">
      <c r="A577" s="28"/>
      <c r="B577" s="29"/>
      <c r="C577" s="29"/>
      <c r="D577" s="30"/>
      <c r="E577" s="2"/>
      <c r="F577" s="31"/>
      <c r="G577" s="30"/>
      <c r="H577" s="1"/>
      <c r="I577" s="1"/>
      <c r="J577" s="1"/>
    </row>
    <row r="578" spans="1:10" ht="18" customHeight="1" x14ac:dyDescent="0.25">
      <c r="A578" s="28"/>
      <c r="B578" s="29"/>
      <c r="C578" s="29"/>
      <c r="D578" s="30"/>
      <c r="E578" s="2"/>
      <c r="F578" s="31"/>
      <c r="G578" s="30"/>
      <c r="H578" s="1"/>
      <c r="I578" s="1"/>
      <c r="J578" s="1"/>
    </row>
    <row r="579" spans="1:10" ht="18" customHeight="1" x14ac:dyDescent="0.25">
      <c r="A579" s="28"/>
      <c r="B579" s="29"/>
      <c r="C579" s="29"/>
      <c r="D579" s="30"/>
      <c r="E579" s="2"/>
      <c r="F579" s="31"/>
      <c r="G579" s="30"/>
      <c r="H579" s="1"/>
      <c r="I579" s="1"/>
      <c r="J579" s="1"/>
    </row>
    <row r="580" spans="1:10" ht="18" customHeight="1" x14ac:dyDescent="0.25">
      <c r="A580" s="28"/>
      <c r="B580" s="29"/>
      <c r="C580" s="29"/>
      <c r="D580" s="30"/>
      <c r="E580" s="2"/>
      <c r="F580" s="31"/>
      <c r="G580" s="30"/>
      <c r="H580" s="1"/>
      <c r="I580" s="1"/>
      <c r="J580" s="1"/>
    </row>
    <row r="581" spans="1:10" ht="18" customHeight="1" x14ac:dyDescent="0.25">
      <c r="A581" s="28"/>
      <c r="B581" s="29"/>
      <c r="C581" s="29"/>
      <c r="D581" s="30"/>
      <c r="E581" s="2"/>
      <c r="F581" s="31"/>
      <c r="G581" s="30"/>
      <c r="H581" s="1"/>
      <c r="I581" s="1"/>
      <c r="J581" s="1"/>
    </row>
    <row r="582" spans="1:10" ht="18" customHeight="1" x14ac:dyDescent="0.25">
      <c r="A582" s="28"/>
      <c r="B582" s="29"/>
      <c r="C582" s="29"/>
      <c r="D582" s="30"/>
      <c r="E582" s="2"/>
      <c r="F582" s="31"/>
      <c r="G582" s="30"/>
      <c r="H582" s="1"/>
      <c r="I582" s="1"/>
      <c r="J582" s="1"/>
    </row>
    <row r="583" spans="1:10" ht="18" customHeight="1" x14ac:dyDescent="0.25">
      <c r="A583" s="28"/>
      <c r="B583" s="29"/>
      <c r="C583" s="29"/>
      <c r="D583" s="30"/>
      <c r="E583" s="2"/>
      <c r="F583" s="31"/>
      <c r="G583" s="30"/>
      <c r="H583" s="1"/>
      <c r="I583" s="1"/>
      <c r="J583" s="1"/>
    </row>
    <row r="584" spans="1:10" ht="18" customHeight="1" x14ac:dyDescent="0.25">
      <c r="A584" s="28"/>
      <c r="B584" s="29"/>
      <c r="C584" s="29"/>
      <c r="D584" s="30"/>
      <c r="E584" s="2"/>
      <c r="F584" s="31"/>
      <c r="G584" s="30"/>
      <c r="H584" s="1"/>
      <c r="I584" s="1"/>
      <c r="J584" s="1"/>
    </row>
    <row r="585" spans="1:10" ht="18" customHeight="1" x14ac:dyDescent="0.25">
      <c r="A585" s="28"/>
      <c r="B585" s="29"/>
      <c r="C585" s="29"/>
      <c r="D585" s="30"/>
      <c r="E585" s="2"/>
      <c r="F585" s="31"/>
      <c r="G585" s="30"/>
      <c r="H585" s="1"/>
      <c r="I585" s="1"/>
      <c r="J585" s="1"/>
    </row>
    <row r="586" spans="1:10" ht="18" customHeight="1" x14ac:dyDescent="0.25">
      <c r="A586" s="28"/>
      <c r="B586" s="29"/>
      <c r="C586" s="29"/>
      <c r="D586" s="30"/>
      <c r="E586" s="2"/>
      <c r="F586" s="31"/>
      <c r="G586" s="30"/>
      <c r="H586" s="1"/>
      <c r="I586" s="1"/>
      <c r="J586" s="1"/>
    </row>
    <row r="587" spans="1:10" ht="18" customHeight="1" x14ac:dyDescent="0.25">
      <c r="A587" s="28"/>
      <c r="B587" s="29"/>
      <c r="C587" s="29"/>
      <c r="D587" s="30"/>
      <c r="E587" s="2"/>
      <c r="F587" s="31"/>
      <c r="G587" s="30"/>
      <c r="H587" s="1"/>
      <c r="I587" s="1"/>
      <c r="J587" s="1"/>
    </row>
    <row r="588" spans="1:10" ht="18" customHeight="1" x14ac:dyDescent="0.25">
      <c r="A588" s="28"/>
      <c r="B588" s="29"/>
      <c r="C588" s="29"/>
      <c r="D588" s="30"/>
      <c r="E588" s="2"/>
      <c r="F588" s="31"/>
      <c r="G588" s="30"/>
      <c r="H588" s="1"/>
      <c r="I588" s="1"/>
      <c r="J588" s="1"/>
    </row>
    <row r="589" spans="1:10" ht="18" customHeight="1" x14ac:dyDescent="0.25">
      <c r="A589" s="28"/>
      <c r="B589" s="29"/>
      <c r="C589" s="29"/>
      <c r="D589" s="30"/>
      <c r="E589" s="2"/>
      <c r="F589" s="31"/>
      <c r="G589" s="30"/>
      <c r="H589" s="1"/>
      <c r="I589" s="1"/>
      <c r="J589" s="1"/>
    </row>
    <row r="590" spans="1:10" ht="18" customHeight="1" x14ac:dyDescent="0.25">
      <c r="A590" s="28"/>
      <c r="B590" s="29"/>
      <c r="C590" s="29"/>
      <c r="D590" s="30"/>
      <c r="E590" s="2"/>
      <c r="F590" s="31"/>
      <c r="G590" s="30"/>
      <c r="H590" s="1"/>
      <c r="I590" s="1"/>
      <c r="J590" s="1"/>
    </row>
    <row r="591" spans="1:10" ht="18" customHeight="1" x14ac:dyDescent="0.25">
      <c r="A591" s="28"/>
      <c r="B591" s="29"/>
      <c r="C591" s="29"/>
      <c r="D591" s="30"/>
      <c r="E591" s="2"/>
      <c r="F591" s="31"/>
      <c r="G591" s="30"/>
      <c r="H591" s="1"/>
      <c r="I591" s="1"/>
      <c r="J591" s="1"/>
    </row>
    <row r="592" spans="1:10" ht="18" customHeight="1" x14ac:dyDescent="0.25">
      <c r="A592" s="28"/>
      <c r="B592" s="29"/>
      <c r="C592" s="29"/>
      <c r="D592" s="30"/>
      <c r="E592" s="2"/>
      <c r="F592" s="31"/>
      <c r="G592" s="30"/>
      <c r="H592" s="1"/>
      <c r="I592" s="1"/>
      <c r="J592" s="1"/>
    </row>
    <row r="593" spans="1:10" ht="18" customHeight="1" x14ac:dyDescent="0.25">
      <c r="A593" s="28"/>
      <c r="B593" s="29"/>
      <c r="C593" s="29"/>
      <c r="D593" s="30"/>
      <c r="E593" s="2"/>
      <c r="F593" s="31"/>
      <c r="G593" s="30"/>
      <c r="H593" s="1"/>
      <c r="I593" s="1"/>
      <c r="J593" s="1"/>
    </row>
    <row r="594" spans="1:10" ht="18" customHeight="1" x14ac:dyDescent="0.25">
      <c r="A594" s="28"/>
      <c r="B594" s="29"/>
      <c r="C594" s="29"/>
      <c r="D594" s="30"/>
      <c r="E594" s="2"/>
      <c r="F594" s="31"/>
      <c r="G594" s="30"/>
      <c r="H594" s="1"/>
      <c r="I594" s="1"/>
      <c r="J594" s="1"/>
    </row>
    <row r="595" spans="1:10" ht="18" customHeight="1" x14ac:dyDescent="0.25">
      <c r="A595" s="28"/>
      <c r="B595" s="29"/>
      <c r="C595" s="29"/>
      <c r="D595" s="30"/>
      <c r="E595" s="2"/>
      <c r="F595" s="31"/>
      <c r="G595" s="30"/>
      <c r="H595" s="1"/>
      <c r="I595" s="1"/>
      <c r="J595" s="1"/>
    </row>
    <row r="596" spans="1:10" ht="18" customHeight="1" x14ac:dyDescent="0.25">
      <c r="A596" s="28"/>
      <c r="B596" s="29"/>
      <c r="C596" s="29"/>
      <c r="D596" s="30"/>
      <c r="E596" s="2"/>
      <c r="F596" s="31"/>
      <c r="G596" s="30"/>
      <c r="H596" s="1"/>
      <c r="I596" s="1"/>
      <c r="J596" s="1"/>
    </row>
    <row r="597" spans="1:10" ht="18" customHeight="1" x14ac:dyDescent="0.25">
      <c r="A597" s="28"/>
      <c r="B597" s="29"/>
      <c r="C597" s="29"/>
      <c r="D597" s="30"/>
      <c r="E597" s="2"/>
      <c r="F597" s="31"/>
      <c r="G597" s="30"/>
      <c r="H597" s="1"/>
      <c r="I597" s="1"/>
      <c r="J597" s="1"/>
    </row>
    <row r="598" spans="1:10" ht="18" customHeight="1" x14ac:dyDescent="0.25">
      <c r="A598" s="28"/>
      <c r="B598" s="29"/>
      <c r="C598" s="29"/>
      <c r="D598" s="30"/>
      <c r="E598" s="2"/>
      <c r="F598" s="31"/>
      <c r="G598" s="30"/>
      <c r="H598" s="1"/>
      <c r="I598" s="1"/>
      <c r="J598" s="1"/>
    </row>
    <row r="599" spans="1:10" ht="18" customHeight="1" x14ac:dyDescent="0.25">
      <c r="A599" s="28"/>
      <c r="B599" s="29"/>
      <c r="C599" s="29"/>
      <c r="D599" s="30"/>
      <c r="E599" s="2"/>
      <c r="F599" s="31"/>
      <c r="G599" s="30"/>
      <c r="H599" s="1"/>
      <c r="I599" s="1"/>
      <c r="J599" s="1"/>
    </row>
    <row r="600" spans="1:10" ht="18" customHeight="1" x14ac:dyDescent="0.25">
      <c r="A600" s="28"/>
      <c r="B600" s="29"/>
      <c r="C600" s="29"/>
      <c r="D600" s="30"/>
      <c r="E600" s="2"/>
      <c r="F600" s="31"/>
      <c r="G600" s="30"/>
      <c r="H600" s="1"/>
      <c r="I600" s="1"/>
      <c r="J600" s="1"/>
    </row>
    <row r="601" spans="1:10" ht="18" customHeight="1" x14ac:dyDescent="0.25">
      <c r="A601" s="28"/>
      <c r="B601" s="29"/>
      <c r="C601" s="29"/>
      <c r="D601" s="30"/>
      <c r="E601" s="2"/>
      <c r="F601" s="31"/>
      <c r="G601" s="30"/>
      <c r="H601" s="1"/>
      <c r="I601" s="1"/>
      <c r="J601" s="1"/>
    </row>
    <row r="602" spans="1:10" ht="18" customHeight="1" x14ac:dyDescent="0.25">
      <c r="A602" s="28"/>
      <c r="B602" s="29"/>
      <c r="C602" s="29"/>
      <c r="D602" s="30"/>
      <c r="E602" s="2"/>
      <c r="F602" s="31"/>
      <c r="G602" s="30"/>
      <c r="H602" s="1"/>
      <c r="I602" s="1"/>
      <c r="J602" s="1"/>
    </row>
    <row r="603" spans="1:10" ht="18" customHeight="1" x14ac:dyDescent="0.25">
      <c r="A603" s="28"/>
      <c r="B603" s="29"/>
      <c r="C603" s="29"/>
      <c r="D603" s="30"/>
      <c r="E603" s="2"/>
      <c r="F603" s="31"/>
      <c r="G603" s="30"/>
      <c r="H603" s="1"/>
      <c r="I603" s="1"/>
      <c r="J603" s="1"/>
    </row>
    <row r="604" spans="1:10" ht="18" customHeight="1" x14ac:dyDescent="0.25">
      <c r="A604" s="28"/>
      <c r="B604" s="29"/>
      <c r="C604" s="29"/>
      <c r="D604" s="30"/>
      <c r="E604" s="2"/>
      <c r="F604" s="31"/>
      <c r="G604" s="30"/>
      <c r="H604" s="1"/>
      <c r="I604" s="1"/>
      <c r="J604" s="1"/>
    </row>
    <row r="605" spans="1:10" ht="18" customHeight="1" x14ac:dyDescent="0.25">
      <c r="A605" s="28"/>
      <c r="B605" s="29"/>
      <c r="C605" s="29"/>
      <c r="D605" s="30"/>
      <c r="E605" s="2"/>
      <c r="F605" s="31"/>
      <c r="G605" s="30"/>
      <c r="H605" s="1"/>
      <c r="I605" s="1"/>
      <c r="J605" s="1"/>
    </row>
    <row r="606" spans="1:10" ht="18" customHeight="1" x14ac:dyDescent="0.25">
      <c r="A606" s="28"/>
      <c r="B606" s="29"/>
      <c r="C606" s="29"/>
      <c r="D606" s="30"/>
      <c r="E606" s="2"/>
      <c r="F606" s="31"/>
      <c r="G606" s="30"/>
      <c r="H606" s="1"/>
      <c r="I606" s="1"/>
      <c r="J606" s="1"/>
    </row>
    <row r="607" spans="1:10" ht="18" customHeight="1" x14ac:dyDescent="0.25">
      <c r="A607" s="28"/>
      <c r="B607" s="29"/>
      <c r="C607" s="29"/>
      <c r="D607" s="30"/>
      <c r="E607" s="2"/>
      <c r="F607" s="31"/>
      <c r="G607" s="30"/>
      <c r="H607" s="1"/>
      <c r="I607" s="1"/>
      <c r="J607" s="1"/>
    </row>
    <row r="608" spans="1:10" ht="18" customHeight="1" x14ac:dyDescent="0.25">
      <c r="A608" s="28"/>
      <c r="B608" s="29"/>
      <c r="C608" s="29"/>
      <c r="D608" s="30"/>
      <c r="E608" s="2"/>
      <c r="F608" s="31"/>
      <c r="G608" s="30"/>
      <c r="H608" s="1"/>
      <c r="I608" s="1"/>
      <c r="J608" s="1"/>
    </row>
    <row r="609" spans="1:10" ht="18" customHeight="1" x14ac:dyDescent="0.25">
      <c r="A609" s="28"/>
      <c r="B609" s="29"/>
      <c r="C609" s="29"/>
      <c r="D609" s="30"/>
      <c r="E609" s="2"/>
      <c r="F609" s="31"/>
      <c r="G609" s="30"/>
      <c r="H609" s="1"/>
      <c r="I609" s="1"/>
      <c r="J609" s="1"/>
    </row>
    <row r="610" spans="1:10" ht="18" customHeight="1" x14ac:dyDescent="0.25">
      <c r="A610" s="28"/>
      <c r="B610" s="29"/>
      <c r="C610" s="29"/>
      <c r="D610" s="30"/>
      <c r="E610" s="2"/>
      <c r="F610" s="31"/>
      <c r="G610" s="30"/>
      <c r="H610" s="1"/>
      <c r="I610" s="1"/>
      <c r="J610" s="1"/>
    </row>
    <row r="611" spans="1:10" ht="18" customHeight="1" x14ac:dyDescent="0.25">
      <c r="A611" s="28"/>
      <c r="B611" s="29"/>
      <c r="C611" s="29"/>
      <c r="D611" s="30"/>
      <c r="E611" s="2"/>
      <c r="F611" s="31"/>
      <c r="G611" s="30"/>
      <c r="H611" s="1"/>
      <c r="I611" s="1"/>
      <c r="J611" s="1"/>
    </row>
    <row r="612" spans="1:10" ht="18" customHeight="1" x14ac:dyDescent="0.25">
      <c r="A612" s="28"/>
      <c r="B612" s="29"/>
      <c r="C612" s="29"/>
      <c r="D612" s="30"/>
      <c r="E612" s="2"/>
      <c r="F612" s="31"/>
      <c r="G612" s="30"/>
      <c r="H612" s="1"/>
      <c r="I612" s="1"/>
      <c r="J612" s="1"/>
    </row>
    <row r="613" spans="1:10" ht="18" customHeight="1" x14ac:dyDescent="0.25">
      <c r="A613" s="28"/>
      <c r="B613" s="29"/>
      <c r="C613" s="29"/>
      <c r="D613" s="30"/>
      <c r="E613" s="2"/>
      <c r="F613" s="31"/>
      <c r="G613" s="30"/>
      <c r="H613" s="1"/>
      <c r="I613" s="1"/>
      <c r="J613" s="1"/>
    </row>
    <row r="614" spans="1:10" ht="18" customHeight="1" x14ac:dyDescent="0.25">
      <c r="A614" s="28"/>
      <c r="B614" s="29"/>
      <c r="C614" s="29"/>
      <c r="D614" s="30"/>
      <c r="E614" s="2"/>
      <c r="F614" s="31"/>
      <c r="G614" s="30"/>
      <c r="H614" s="1"/>
      <c r="I614" s="1"/>
      <c r="J614" s="1"/>
    </row>
    <row r="615" spans="1:10" ht="18" customHeight="1" x14ac:dyDescent="0.25">
      <c r="A615" s="28"/>
      <c r="B615" s="29"/>
      <c r="C615" s="29"/>
      <c r="D615" s="30"/>
      <c r="E615" s="2"/>
      <c r="F615" s="31"/>
      <c r="G615" s="30"/>
      <c r="H615" s="1"/>
      <c r="I615" s="1"/>
      <c r="J615" s="1"/>
    </row>
    <row r="616" spans="1:10" ht="18" customHeight="1" x14ac:dyDescent="0.25">
      <c r="A616" s="28"/>
      <c r="B616" s="29"/>
      <c r="C616" s="29"/>
      <c r="D616" s="30"/>
      <c r="E616" s="2"/>
      <c r="F616" s="31"/>
      <c r="G616" s="30"/>
      <c r="H616" s="1"/>
      <c r="I616" s="1"/>
      <c r="J616" s="1"/>
    </row>
    <row r="617" spans="1:10" ht="18" customHeight="1" x14ac:dyDescent="0.25">
      <c r="A617" s="28"/>
      <c r="B617" s="29"/>
      <c r="C617" s="29"/>
      <c r="D617" s="30"/>
      <c r="E617" s="2"/>
      <c r="F617" s="31"/>
      <c r="G617" s="30"/>
      <c r="H617" s="1"/>
      <c r="I617" s="1"/>
      <c r="J617" s="1"/>
    </row>
    <row r="618" spans="1:10" ht="18" customHeight="1" x14ac:dyDescent="0.25">
      <c r="A618" s="28"/>
      <c r="B618" s="29"/>
      <c r="C618" s="29"/>
      <c r="D618" s="30"/>
      <c r="E618" s="2"/>
      <c r="F618" s="31"/>
      <c r="G618" s="30"/>
      <c r="H618" s="1"/>
      <c r="I618" s="1"/>
      <c r="J618" s="1"/>
    </row>
    <row r="619" spans="1:10" ht="18" customHeight="1" x14ac:dyDescent="0.25">
      <c r="A619" s="28"/>
      <c r="B619" s="29"/>
      <c r="C619" s="29"/>
      <c r="D619" s="30"/>
      <c r="E619" s="2"/>
      <c r="F619" s="31"/>
      <c r="G619" s="30"/>
      <c r="H619" s="1"/>
      <c r="I619" s="1"/>
      <c r="J619" s="1"/>
    </row>
    <row r="620" spans="1:10" ht="18" customHeight="1" x14ac:dyDescent="0.25">
      <c r="A620" s="28"/>
      <c r="B620" s="29"/>
      <c r="C620" s="29"/>
      <c r="D620" s="30"/>
      <c r="E620" s="2"/>
      <c r="F620" s="31"/>
      <c r="G620" s="30"/>
      <c r="H620" s="1"/>
      <c r="I620" s="1"/>
      <c r="J620" s="1"/>
    </row>
    <row r="621" spans="1:10" ht="18" customHeight="1" x14ac:dyDescent="0.25">
      <c r="A621" s="28"/>
      <c r="B621" s="29"/>
      <c r="C621" s="29"/>
      <c r="D621" s="30"/>
      <c r="E621" s="2"/>
      <c r="F621" s="31"/>
      <c r="G621" s="30"/>
      <c r="H621" s="1"/>
      <c r="I621" s="1"/>
      <c r="J621" s="1"/>
    </row>
    <row r="622" spans="1:10" ht="18" customHeight="1" x14ac:dyDescent="0.25">
      <c r="A622" s="28"/>
      <c r="B622" s="29"/>
      <c r="C622" s="29"/>
      <c r="D622" s="30"/>
      <c r="E622" s="2"/>
      <c r="F622" s="31"/>
      <c r="G622" s="30"/>
      <c r="H622" s="1"/>
      <c r="I622" s="1"/>
      <c r="J622" s="1"/>
    </row>
    <row r="623" spans="1:10" ht="18" customHeight="1" x14ac:dyDescent="0.25">
      <c r="A623" s="28"/>
      <c r="B623" s="29"/>
      <c r="C623" s="29"/>
      <c r="D623" s="30"/>
      <c r="E623" s="2"/>
      <c r="F623" s="31"/>
      <c r="G623" s="30"/>
      <c r="H623" s="1"/>
      <c r="I623" s="1"/>
      <c r="J623" s="1"/>
    </row>
    <row r="624" spans="1:10" ht="18" customHeight="1" x14ac:dyDescent="0.25">
      <c r="A624" s="28"/>
      <c r="B624" s="29"/>
      <c r="C624" s="29"/>
      <c r="D624" s="30"/>
      <c r="E624" s="2"/>
      <c r="F624" s="31"/>
      <c r="G624" s="30"/>
      <c r="H624" s="1"/>
      <c r="I624" s="1"/>
      <c r="J624" s="1"/>
    </row>
    <row r="625" spans="1:10" ht="18" customHeight="1" x14ac:dyDescent="0.25">
      <c r="A625" s="28"/>
      <c r="B625" s="29"/>
      <c r="C625" s="29"/>
      <c r="D625" s="30"/>
      <c r="E625" s="2"/>
      <c r="F625" s="31"/>
      <c r="G625" s="30"/>
      <c r="H625" s="1"/>
      <c r="I625" s="1"/>
      <c r="J625" s="1"/>
    </row>
    <row r="626" spans="1:10" ht="18" customHeight="1" x14ac:dyDescent="0.25">
      <c r="A626" s="28"/>
      <c r="B626" s="29"/>
      <c r="C626" s="29"/>
      <c r="D626" s="30"/>
      <c r="E626" s="2"/>
      <c r="F626" s="31"/>
      <c r="G626" s="30"/>
      <c r="H626" s="1"/>
      <c r="I626" s="1"/>
      <c r="J626" s="1"/>
    </row>
    <row r="627" spans="1:10" ht="18" customHeight="1" x14ac:dyDescent="0.25">
      <c r="A627" s="28"/>
      <c r="B627" s="29"/>
      <c r="C627" s="29"/>
      <c r="D627" s="30"/>
      <c r="E627" s="2"/>
      <c r="F627" s="31"/>
      <c r="G627" s="30"/>
      <c r="H627" s="1"/>
      <c r="I627" s="1"/>
      <c r="J627" s="1"/>
    </row>
    <row r="628" spans="1:10" ht="18" customHeight="1" x14ac:dyDescent="0.25">
      <c r="A628" s="28"/>
      <c r="B628" s="29"/>
      <c r="C628" s="29"/>
      <c r="D628" s="30"/>
      <c r="E628" s="2"/>
      <c r="F628" s="31"/>
      <c r="G628" s="30"/>
      <c r="H628" s="1"/>
      <c r="I628" s="1"/>
      <c r="J628" s="1"/>
    </row>
    <row r="629" spans="1:10" ht="18" customHeight="1" x14ac:dyDescent="0.25">
      <c r="A629" s="28"/>
      <c r="B629" s="29"/>
      <c r="C629" s="29"/>
      <c r="D629" s="30"/>
      <c r="E629" s="2"/>
      <c r="F629" s="31"/>
      <c r="G629" s="30"/>
      <c r="H629" s="1"/>
      <c r="I629" s="1"/>
      <c r="J629" s="1"/>
    </row>
    <row r="630" spans="1:10" ht="18" customHeight="1" x14ac:dyDescent="0.25">
      <c r="A630" s="28"/>
      <c r="B630" s="29"/>
      <c r="C630" s="29"/>
      <c r="D630" s="30"/>
      <c r="E630" s="2"/>
      <c r="F630" s="31"/>
      <c r="G630" s="30"/>
      <c r="H630" s="1"/>
      <c r="I630" s="1"/>
      <c r="J630" s="1"/>
    </row>
    <row r="631" spans="1:10" ht="18" customHeight="1" x14ac:dyDescent="0.25">
      <c r="A631" s="28"/>
      <c r="B631" s="29"/>
      <c r="C631" s="29"/>
      <c r="D631" s="30"/>
      <c r="E631" s="2"/>
      <c r="F631" s="31"/>
      <c r="G631" s="30"/>
      <c r="H631" s="1"/>
      <c r="I631" s="1"/>
      <c r="J631" s="1"/>
    </row>
    <row r="632" spans="1:10" ht="18" customHeight="1" x14ac:dyDescent="0.25">
      <c r="A632" s="28"/>
      <c r="B632" s="29"/>
      <c r="C632" s="29"/>
      <c r="D632" s="30"/>
      <c r="E632" s="2"/>
      <c r="F632" s="31"/>
      <c r="G632" s="30"/>
      <c r="H632" s="1"/>
      <c r="I632" s="1"/>
      <c r="J632" s="1"/>
    </row>
    <row r="633" spans="1:10" ht="18" customHeight="1" x14ac:dyDescent="0.25">
      <c r="A633" s="28"/>
      <c r="B633" s="29"/>
      <c r="C633" s="29"/>
      <c r="D633" s="30"/>
      <c r="E633" s="2"/>
      <c r="F633" s="31"/>
      <c r="G633" s="30"/>
      <c r="H633" s="1"/>
      <c r="I633" s="1"/>
      <c r="J633" s="1"/>
    </row>
    <row r="634" spans="1:10" ht="18" customHeight="1" x14ac:dyDescent="0.25">
      <c r="A634" s="28"/>
      <c r="B634" s="29"/>
      <c r="C634" s="29"/>
      <c r="D634" s="30"/>
      <c r="E634" s="2"/>
      <c r="F634" s="31"/>
      <c r="G634" s="30"/>
      <c r="H634" s="1"/>
      <c r="I634" s="1"/>
      <c r="J634" s="1"/>
    </row>
    <row r="635" spans="1:10" ht="18" customHeight="1" x14ac:dyDescent="0.25">
      <c r="A635" s="28"/>
      <c r="B635" s="29"/>
      <c r="C635" s="29"/>
      <c r="D635" s="30"/>
      <c r="E635" s="2"/>
      <c r="F635" s="31"/>
      <c r="G635" s="30"/>
      <c r="H635" s="1"/>
      <c r="I635" s="1"/>
      <c r="J635" s="1"/>
    </row>
    <row r="636" spans="1:10" ht="18" customHeight="1" x14ac:dyDescent="0.25">
      <c r="A636" s="28"/>
      <c r="B636" s="29"/>
      <c r="C636" s="29"/>
      <c r="D636" s="30"/>
      <c r="E636" s="2"/>
      <c r="F636" s="31"/>
      <c r="G636" s="30"/>
      <c r="H636" s="1"/>
      <c r="I636" s="1"/>
      <c r="J636" s="1"/>
    </row>
    <row r="637" spans="1:10" ht="18" customHeight="1" x14ac:dyDescent="0.25">
      <c r="A637" s="28"/>
      <c r="B637" s="29"/>
      <c r="C637" s="29"/>
      <c r="D637" s="30"/>
      <c r="E637" s="2"/>
      <c r="F637" s="31"/>
      <c r="G637" s="30"/>
      <c r="H637" s="1"/>
      <c r="I637" s="1"/>
      <c r="J637" s="1"/>
    </row>
    <row r="638" spans="1:10" ht="18" customHeight="1" x14ac:dyDescent="0.25">
      <c r="A638" s="28"/>
      <c r="B638" s="29"/>
      <c r="C638" s="29"/>
      <c r="D638" s="30"/>
      <c r="E638" s="2"/>
      <c r="F638" s="31"/>
      <c r="G638" s="30"/>
      <c r="H638" s="1"/>
      <c r="I638" s="1"/>
      <c r="J638" s="1"/>
    </row>
    <row r="639" spans="1:10" ht="18" customHeight="1" x14ac:dyDescent="0.25">
      <c r="A639" s="28"/>
      <c r="B639" s="29"/>
      <c r="C639" s="29"/>
      <c r="D639" s="30"/>
      <c r="E639" s="2"/>
      <c r="F639" s="31"/>
      <c r="G639" s="30"/>
      <c r="H639" s="1"/>
      <c r="I639" s="1"/>
      <c r="J639" s="1"/>
    </row>
    <row r="640" spans="1:10" ht="18" customHeight="1" x14ac:dyDescent="0.25">
      <c r="A640" s="28"/>
      <c r="B640" s="29"/>
      <c r="C640" s="29"/>
      <c r="D640" s="30"/>
      <c r="E640" s="2"/>
      <c r="F640" s="31"/>
      <c r="G640" s="30"/>
      <c r="H640" s="1"/>
      <c r="I640" s="1"/>
      <c r="J640" s="1"/>
    </row>
    <row r="641" spans="1:10" ht="18" customHeight="1" x14ac:dyDescent="0.25">
      <c r="A641" s="28"/>
      <c r="B641" s="29"/>
      <c r="C641" s="29"/>
      <c r="D641" s="30"/>
      <c r="E641" s="2"/>
      <c r="F641" s="31"/>
      <c r="G641" s="30"/>
      <c r="H641" s="1"/>
      <c r="I641" s="1"/>
      <c r="J641" s="1"/>
    </row>
    <row r="642" spans="1:10" ht="18" customHeight="1" x14ac:dyDescent="0.25">
      <c r="A642" s="28"/>
      <c r="B642" s="29"/>
      <c r="C642" s="29"/>
      <c r="D642" s="30"/>
      <c r="E642" s="2"/>
      <c r="F642" s="31"/>
      <c r="G642" s="30"/>
      <c r="H642" s="1"/>
      <c r="I642" s="1"/>
      <c r="J642" s="1"/>
    </row>
    <row r="643" spans="1:10" ht="18" customHeight="1" x14ac:dyDescent="0.25">
      <c r="A643" s="28"/>
      <c r="B643" s="29"/>
      <c r="C643" s="29"/>
      <c r="D643" s="30"/>
      <c r="E643" s="2"/>
      <c r="F643" s="31"/>
      <c r="G643" s="30"/>
      <c r="H643" s="1"/>
      <c r="I643" s="1"/>
      <c r="J643" s="1"/>
    </row>
    <row r="644" spans="1:10" ht="18" customHeight="1" x14ac:dyDescent="0.25">
      <c r="A644" s="28"/>
      <c r="B644" s="29"/>
      <c r="C644" s="29"/>
      <c r="D644" s="30"/>
      <c r="E644" s="2"/>
      <c r="F644" s="31"/>
      <c r="G644" s="30"/>
      <c r="H644" s="1"/>
      <c r="I644" s="1"/>
      <c r="J644" s="1"/>
    </row>
  </sheetData>
  <autoFilter ref="A3:I143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xodimlar</vt:lpstr>
      <vt:lpstr>Свод_Форма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ACER-PC</dc:creator>
  <cp:lastModifiedBy>ACER-PC</cp:lastModifiedBy>
  <dcterms:created xsi:type="dcterms:W3CDTF">2026-04-22T05:29:20Z</dcterms:created>
  <dcterms:modified xsi:type="dcterms:W3CDTF">2026-04-22T05:50:22Z</dcterms:modified>
</cp:coreProperties>
</file>